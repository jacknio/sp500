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4.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5.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drawings/charts/chart5.xml" ContentType="application/vnd.openxmlformats-officedocument.drawingml.chart+xml"/>
  <Override PartName="/xl/worksheets/sheet6.xml" ContentType="application/vnd.openxmlformats-officedocument.spreadsheetml.worksheet+xml"/>
  <Override PartName="/xl/drawings/drawing5.xml" ContentType="application/vnd.openxmlformats-officedocument.drawing+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drawings/charts/chart9.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f71b0d100748c6" /></Relationships>
</file>

<file path=xl/workbook.xml><?xml version="1.0" encoding="utf-8"?>
<x:workbook xmlns:x="http://schemas.openxmlformats.org/spreadsheetml/2006/main">
  <x:sheets>
    <x:sheet xmlns:r="http://schemas.openxmlformats.org/officeDocument/2006/relationships" name="00_Thesis" sheetId="1" r:id="R3679b6e0114d46c4"/>
    <x:sheet xmlns:r="http://schemas.openxmlformats.org/officeDocument/2006/relationships" name="01_Energy_GDP" sheetId="2" r:id="R91f6601c0aae4d89"/>
    <x:sheet xmlns:r="http://schemas.openxmlformats.org/officeDocument/2006/relationships" name="02_Petroleum_GDP" sheetId="3" r:id="R64ca1a3b535d4f50"/>
    <x:sheet xmlns:r="http://schemas.openxmlformats.org/officeDocument/2006/relationships" name="03_Gas_PCE" sheetId="4" r:id="Rb82d343e263a4cfd"/>
    <x:sheet xmlns:r="http://schemas.openxmlformats.org/officeDocument/2006/relationships" name="04_Inflation" sheetId="5" r:id="Rdd171749d2ad429c"/>
    <x:sheet xmlns:r="http://schemas.openxmlformats.org/officeDocument/2006/relationships" name="05_Demand_Retail" sheetId="6" r:id="R34464c62f2ae4abc"/>
    <x:sheet xmlns:r="http://schemas.openxmlformats.org/officeDocument/2006/relationships" name="06_Data_Inventory" sheetId="7" r:id="Rede7d6025cc54533"/>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164" formatCode="0.0%"/>
    <x:numFmt numFmtId="165" formatCode="0.0%;[Red](0.0%);–"/>
    <x:numFmt numFmtId="166" formatCode="#,##0.0"/>
    <x:numFmt numFmtId="167" formatCode="0.0%;[Red](0.0%);-"/>
    <x:numFmt numFmtId="168" formatCode="#,##0;[Red](#,##0);-"/>
    <x:numFmt numFmtId="169" formatCode="#,##0.0;[Red](#,##0.0);-"/>
    <x:numFmt numFmtId="170" formatCode="0.0;[Red](0.0);-"/>
    <x:numFmt numFmtId="171" formatCode="yyyy-mm"/>
    <x:numFmt numFmtId="172" formatCode="0.0"/>
    <x:numFmt numFmtId="173" formatCode="mmm yyyy"/>
  </x:numFmts>
  <x:fonts count="58">
    <x:font>
      <x:sz val="11"/>
      <x:name val="Carlito"/>
    </x:font>
    <x:font>
      <x:b/>
      <x:sz val="16"/>
      <x:color rgb="FFFFFFFF"/>
      <x:name val="Carlito"/>
    </x:font>
    <x:font>
      <x:sz val="10"/>
      <x:color rgb="FF607084"/>
      <x:name val="Carlito"/>
    </x:font>
    <x:font>
      <x:sz val="11"/>
      <x:color rgb="FFFFFFFF"/>
      <x:name val="Carlito"/>
    </x:font>
    <x:font>
      <x:sz val="11"/>
      <x:color rgb="FF1D2D43"/>
      <x:name val="Carlito"/>
    </x:font>
    <x:font>
      <x:b/>
      <x:sz val="10"/>
      <x:color rgb="FFFFFFFF"/>
      <x:name val="Carlito"/>
    </x:font>
    <x:font>
      <x:sz val="11"/>
      <x:color rgb="FF2354B6"/>
      <x:name val="Carlito"/>
    </x:font>
    <x:font>
      <x:b/>
      <x:sz val="11"/>
      <x:color rgb="FFFFFFFF"/>
      <x:name val="Carlito"/>
    </x:font>
    <x:font>
      <x:b/>
      <x:sz val="11"/>
      <x:color rgb="FF1D2D43"/>
      <x:name val="Carlito"/>
    </x:font>
    <x:font>
      <x:sz val="11"/>
      <x:color rgb="FF1A58B5"/>
      <x:name val="Carlito"/>
    </x:font>
    <x:font>
      <x:b/>
      <x:sz val="11"/>
      <x:color rgb="FF173B5C"/>
      <x:name val="Carlito"/>
    </x:font>
    <x:font>
      <x:sz val="11"/>
      <x:color rgb="FF000000"/>
      <x:name val="Carlito"/>
    </x:font>
    <x:font>
      <x:sz val="11"/>
      <x:color rgb="FF334155"/>
      <x:name val="Carlito"/>
    </x:font>
    <x:font>
      <x:b/>
      <x:sz val="16"/>
      <x:color rgb="FF263746"/>
      <x:name val="Carlito"/>
    </x:font>
    <x:font>
      <x:sz val="11"/>
      <x:color rgb="FF263746"/>
      <x:name val="Carlito"/>
    </x:font>
    <x:font>
      <x:sz val="10"/>
      <x:color rgb="FF263746"/>
      <x:name val="Carlito"/>
    </x:font>
    <x:font>
      <x:b/>
      <x:sz val="10"/>
      <x:color rgb="FF263746"/>
      <x:name val="Carlito"/>
    </x:font>
    <x:font>
      <x:b/>
      <x:sz val="11"/>
      <x:color rgb="FF263746"/>
      <x:name val="Carlito"/>
    </x:font>
    <x:font>
      <x:sz val="10"/>
      <x:color rgb="FF244A67"/>
      <x:name val="Carlito"/>
    </x:font>
    <x:font>
      <x:b/>
      <x:sz val="11"/>
      <x:color rgb="FF142944"/>
      <x:name val="Carlito"/>
    </x:font>
    <x:font>
      <x:b/>
      <x:sz val="10"/>
      <x:color rgb="FF244A67"/>
      <x:name val="Carlito"/>
    </x:font>
    <x:font>
      <x:sz val="11"/>
      <x:color rgb="FF244A67"/>
      <x:name val="Carlito"/>
    </x:font>
    <x:font>
      <x:b/>
      <x:sz val="10"/>
      <x:color rgb="FF596C7A"/>
      <x:name val="Carlito"/>
    </x:font>
    <x:font>
      <x:sz val="11"/>
      <x:color rgb="FF596C7A"/>
      <x:name val="Carlito"/>
    </x:font>
    <x:font>
      <x:sz val="11"/>
      <x:color rgb="FF235AA6"/>
      <x:name val="Carlito"/>
    </x:font>
    <x:font>
      <x:b/>
      <x:sz val="11"/>
      <x:color rgb="FF235AA6"/>
      <x:name val="Carlito"/>
    </x:font>
    <x:font>
      <x:sz val="11"/>
      <x:color rgb="FF202B36"/>
      <x:name val="Carlito"/>
    </x:font>
    <x:font>
      <x:b/>
      <x:sz val="11"/>
      <x:color rgb="FF202B36"/>
      <x:name val="Carlito"/>
    </x:font>
    <x:font>
      <x:sz val="10"/>
      <x:color rgb="FF142944"/>
      <x:name val="Carlito"/>
    </x:font>
    <x:font>
      <x:sz val="11"/>
      <x:color rgb="FF000000"/>
      <x:name val="Calibri"/>
    </x:font>
    <x:font>
      <x:b/>
      <x:sz val="16"/>
      <x:color rgb="FFFFFFFF"/>
      <x:name val="Calibri"/>
    </x:font>
    <x:font>
      <x:sz val="10"/>
      <x:color rgb="FF244A67"/>
      <x:name val="Calibri"/>
    </x:font>
    <x:font>
      <x:b/>
      <x:sz val="11"/>
      <x:color rgb="FFFFFFFF"/>
      <x:name val="Calibri"/>
    </x:font>
    <x:font>
      <x:b/>
      <x:sz val="11"/>
      <x:color rgb="FF142944"/>
      <x:name val="Calibri"/>
    </x:font>
    <x:font>
      <x:sz val="11"/>
      <x:color rgb="FF263746"/>
      <x:name val="Calibri"/>
    </x:font>
    <x:font>
      <x:sz val="11"/>
      <x:color rgb="FF244A67"/>
      <x:name val="Calibri"/>
    </x:font>
    <x:font>
      <x:b/>
      <x:sz val="11"/>
      <x:color rgb="FF263746"/>
      <x:name val="Calibri"/>
    </x:font>
    <x:font>
      <x:b/>
      <x:sz val="10"/>
      <x:color rgb="FFFFFFFF"/>
      <x:name val="Calibri"/>
    </x:font>
    <x:font>
      <x:sz val="10"/>
      <x:color rgb="FF142944"/>
      <x:name val="Calibri"/>
    </x:font>
    <x:font>
      <x:b/>
      <x:sz val="16"/>
      <x:color rgb="FF273849"/>
      <x:name val="Calibri"/>
    </x:font>
    <x:font>
      <x:sz val="11"/>
      <x:color rgb="FF273849"/>
      <x:name val="Calibri"/>
    </x:font>
    <x:font>
      <x:sz val="10"/>
      <x:color rgb="FF273849"/>
      <x:name val="Calibri"/>
    </x:font>
    <x:font>
      <x:b/>
      <x:sz val="11"/>
      <x:color rgb="FF273849"/>
      <x:name val="Calibri"/>
    </x:font>
    <x:font>
      <x:b/>
      <x:sz val="10"/>
      <x:color rgb="FF273849"/>
      <x:name val="Calibri"/>
    </x:font>
    <x:font>
      <x:sz val="11"/>
      <x:color rgb="FF273849"/>
      <x:name val="Carlito"/>
    </x:font>
    <x:font>
      <x:b/>
      <x:sz val="11"/>
      <x:color rgb="FF244A67"/>
      <x:name val="Calibri"/>
    </x:font>
    <x:font>
      <x:b/>
      <x:sz val="10"/>
      <x:color rgb="FF142944"/>
      <x:name val="Calibri"/>
    </x:font>
    <x:font>
      <x:sz val="11"/>
      <x:color rgb="FF235AA6"/>
      <x:name val="Calibri"/>
    </x:font>
    <x:font>
      <x:b/>
      <x:sz val="9"/>
      <x:color rgb="FF596C7A"/>
      <x:name val="Calibri"/>
    </x:font>
    <x:font>
      <x:sz val="11"/>
      <x:color rgb="FF8897A4"/>
      <x:name val="Calibri"/>
    </x:font>
    <x:font>
      <x:sz val="11"/>
      <x:color rgb="FF000000"/>
      <x:name val="Calibri"/>
    </x:font>
    <x:font>
      <x:b/>
      <x:sz val="15"/>
      <x:color rgb="FFFFFFFF"/>
      <x:name val="Calibri"/>
    </x:font>
    <x:font>
      <x:sz val="10"/>
      <x:color rgb="FF244A67"/>
      <x:name val="Calibri"/>
    </x:font>
    <x:font>
      <x:b/>
      <x:sz val="11"/>
      <x:color rgb="FFFFFFFF"/>
      <x:name val="Calibri"/>
    </x:font>
    <x:font>
      <x:b/>
      <x:sz val="11"/>
      <x:color rgb="FF244A67"/>
      <x:name val="Calibri"/>
    </x:font>
    <x:font>
      <x:sz val="11"/>
      <x:color rgb="FF22313F"/>
      <x:name val="Calibri"/>
    </x:font>
    <x:font>
      <x:sz val="11"/>
      <x:color rgb="FF244A67"/>
      <x:name val="Calibri"/>
    </x:font>
    <x:font>
      <x:sz val="11"/>
      <x:color rgb="FF64748B"/>
      <x:name val="Calibri"/>
    </x:font>
  </x:fonts>
  <x:fills count="34">
    <x:fill>
      <x:patternFill patternType="none"/>
    </x:fill>
    <x:fill>
      <x:patternFill patternType="gray125"/>
    </x:fill>
    <x:fill>
      <x:patternFill patternType="solid">
        <x:fgColor rgb="FF15263F"/>
      </x:patternFill>
    </x:fill>
    <x:fill>
      <x:patternFill patternType="solid">
        <x:fgColor rgb="FFEAF1F9"/>
      </x:patternFill>
    </x:fill>
    <x:fill>
      <x:patternFill patternType="solid">
        <x:fgColor rgb="FF2B4668"/>
      </x:patternFill>
    </x:fill>
    <x:fill>
      <x:patternFill patternType="solid">
        <x:fgColor rgb="FFFFF1CE"/>
      </x:patternFill>
    </x:fill>
    <x:fill>
      <x:patternFill patternType="solid">
        <x:fgColor rgb="FF1A3654"/>
      </x:patternFill>
    </x:fill>
    <x:fill>
      <x:patternFill patternType="solid">
        <x:fgColor rgb="FFE9EFF5"/>
      </x:patternFill>
    </x:fill>
    <x:fill>
      <x:patternFill patternType="solid">
        <x:fgColor rgb="FFEDF3F8"/>
      </x:patternFill>
    </x:fill>
    <x:fill>
      <x:patternFill patternType="solid">
        <x:fgColor rgb="FFF0F4F8"/>
      </x:patternFill>
    </x:fill>
    <x:fill>
      <x:patternFill patternType="solid">
        <x:fgColor rgb="FFFFFFFF"/>
      </x:patternFill>
    </x:fill>
    <x:fill>
      <x:patternFill patternType="solid">
        <x:fgColor rgb="FF142944"/>
      </x:patternFill>
    </x:fill>
    <x:fill>
      <x:patternFill patternType="solid">
        <x:fgColor rgb="FFEEF4F8"/>
      </x:patternFill>
    </x:fill>
    <x:fill>
      <x:patternFill patternType="solid">
        <x:fgColor rgb="FF244A67"/>
      </x:patternFill>
    </x:fill>
    <x:fill>
      <x:patternFill patternType="solid">
        <x:fgColor rgb="FFDDE9F2"/>
      </x:patternFill>
    </x:fill>
    <x:fill>
      <x:patternFill patternType="solid">
        <x:fgColor rgb="FFF4F7FA"/>
      </x:patternFill>
    </x:fill>
    <x:fill>
      <x:patternFill patternType="solid">
        <x:fgColor rgb="FF142944"/>
      </x:patternFill>
    </x:fill>
    <x:fill>
      <x:patternFill patternType="solid">
        <x:fgColor rgb="FFEEF4F8"/>
      </x:patternFill>
    </x:fill>
    <x:fill>
      <x:patternFill patternType="solid">
        <x:fgColor rgb="FF244A67"/>
      </x:patternFill>
    </x:fill>
    <x:fill>
      <x:patternFill patternType="solid">
        <x:fgColor rgb="FFDDE9F2"/>
      </x:patternFill>
    </x:fill>
    <x:fill>
      <x:patternFill patternType="solid">
        <x:fgColor rgb="FFF4F7FA"/>
      </x:patternFill>
    </x:fill>
    <x:fill>
      <x:patternFill patternType="solid">
        <x:fgColor rgb="FFFFFFFF"/>
      </x:patternFill>
    </x:fill>
    <x:fill>
      <x:patternFill patternType="solid">
        <x:fgColor rgb="FF142944"/>
      </x:patternFill>
    </x:fill>
    <x:fill>
      <x:patternFill patternType="solid">
        <x:fgColor rgb="FFE8F1F6"/>
      </x:patternFill>
    </x:fill>
    <x:fill>
      <x:patternFill patternType="solid">
        <x:fgColor rgb="FF244A67"/>
      </x:patternFill>
    </x:fill>
    <x:fill>
      <x:patternFill patternType="solid">
        <x:fgColor rgb="FFD8E5EF"/>
      </x:patternFill>
    </x:fill>
    <x:fill>
      <x:patternFill patternType="solid">
        <x:fgColor rgb="FFF4F7FA"/>
      </x:patternFill>
    </x:fill>
    <x:fill>
      <x:patternFill patternType="solid">
        <x:fgColor rgb="FFEEF4F8"/>
      </x:patternFill>
    </x:fill>
    <x:fill>
      <x:patternFill patternType="solid">
        <x:fgColor rgb="FF142944"/>
      </x:patternFill>
    </x:fill>
    <x:fill>
      <x:patternFill patternType="solid">
        <x:fgColor rgb="FFEEF4F8"/>
      </x:patternFill>
    </x:fill>
    <x:fill>
      <x:patternFill patternType="solid">
        <x:fgColor rgb="FF244A67"/>
      </x:patternFill>
    </x:fill>
    <x:fill>
      <x:patternFill patternType="solid">
        <x:fgColor rgb="FFDDE9F2"/>
      </x:patternFill>
    </x:fill>
    <x:fill>
      <x:patternFill patternType="solid">
        <x:fgColor rgb="FFF7FAFC"/>
      </x:patternFill>
    </x:fill>
    <x:fill>
      <x:patternFill patternType="solid">
        <x:fgColor rgb="FFDDE9F2"/>
      </x:patternFill>
    </x:fill>
  </x:fills>
  <x:borders count="14">
    <x:border/>
    <x:border/>
    <x:border>
      <x:left style="thin">
        <x:color rgb="FFD8E1E8"/>
      </x:left>
      <x:right style="thin">
        <x:color rgb="FFD8E1E8"/>
      </x:right>
      <x:top style="thin">
        <x:color rgb="FFD8E1E8"/>
      </x:top>
      <x:bottom style="thin">
        <x:color rgb="FFD8E1E8"/>
      </x:bottom>
    </x:border>
    <x:border>
      <x:left style="thin">
        <x:color rgb="FFD8E1E8"/>
      </x:left>
      <x:right style="thin">
        <x:color rgb="FFD8E1E8"/>
      </x:right>
      <x:top style="thin">
        <x:color rgb="FFBED0DE"/>
      </x:top>
      <x:bottom style="thin">
        <x:color rgb="FFD8E1E8"/>
      </x:bottom>
    </x:border>
    <x:border>
      <x:top style="thin">
        <x:color rgb="FFD8E1E8"/>
      </x:top>
    </x:border>
    <x:border>
      <x:left style="thin">
        <x:color rgb="FFD8E1E8"/>
      </x:left>
    </x:border>
    <x:border>
      <x:right style="thin">
        <x:color rgb="FFD8E1E8"/>
      </x:right>
      <x:top style="thin">
        <x:color rgb="FFD8E1E8"/>
      </x:top>
    </x:border>
    <x:border>
      <x:right style="thin">
        <x:color rgb="FFD8E1E8"/>
      </x:right>
    </x:border>
    <x:border>
      <x:left style="thin">
        <x:color rgb="FFD8E1E8"/>
      </x:left>
      <x:bottom style="thin">
        <x:color rgb="FFD8E1E8"/>
      </x:bottom>
    </x:border>
    <x:border>
      <x:bottom style="thin">
        <x:color rgb="FFD8E1E8"/>
      </x:bottom>
    </x:border>
    <x:border>
      <x:right style="thin">
        <x:color rgb="FFD8E1E8"/>
      </x:right>
      <x:bottom style="thin">
        <x:color rgb="FFD8E1E8"/>
      </x:bottom>
    </x:border>
    <x:border>
      <x:top style="thin">
        <x:color rgb="FFD8E1E8"/>
      </x:top>
      <x:bottom style="thin">
        <x:color rgb="FFD8E1E8"/>
      </x:bottom>
    </x:border>
    <x:border>
      <x:right style="thin">
        <x:color rgb="FFD8E1E8"/>
      </x:right>
      <x:top style="thin">
        <x:color rgb="FFD8E1E8"/>
      </x:top>
      <x:bottom style="thin">
        <x:color rgb="FFD8E1E8"/>
      </x:bottom>
    </x:border>
    <x:border>
      <x:left style="thin">
        <x:color rgb="FFD8E1E8"/>
      </x:left>
      <x:right style="thin">
        <x:color rgb="FFD8E1E8"/>
      </x:right>
      <x:top style="thin">
        <x:color rgb="FFD8E1E8"/>
      </x:top>
      <x:bottom style="thin">
        <x:color rgb="FFD8E1E8"/>
      </x:bottom>
    </x:border>
  </x:borders>
  <x:cellStyleXfs count="1">
    <x:xf numFmtId="0" fontId="0" fillId="0" borderId="1"/>
  </x:cellStyleXfs>
  <x:cellXfs count="817">
    <x:xf numFmtId="0" fontId="0" fillId="0" borderId="0" xfId="0"/>
    <x:xf numFmtId="0" fontId="0" fillId="0" borderId="1" xfId="0"/>
    <x:xf numFmtId="0" fontId="0" fillId="2" borderId="0" xfId="0"/>
    <x:xf numFmtId="0" fontId="1" fillId="2" borderId="0" xfId="0"/>
    <x:xf numFmtId="0" fontId="1" fillId="2" borderId="0" xfId="0" applyAlignment="1">
      <x:alignment vertical="center"/>
    </x:xf>
    <x:xf numFmtId="0" fontId="0" fillId="2" borderId="1" xfId="0"/>
    <x:xf numFmtId="0" fontId="1" fillId="2" borderId="1" xfId="0"/>
    <x:xf numFmtId="0" fontId="1" fillId="2" borderId="1" xfId="0" applyAlignment="1">
      <x:alignment vertical="center"/>
    </x:xf>
    <x:xf numFmtId="0" fontId="0" fillId="3" borderId="0" xfId="0"/>
    <x:xf numFmtId="0" fontId="2" fillId="3" borderId="0" xfId="0"/>
    <x:xf numFmtId="0" fontId="2" fillId="3" borderId="0" xfId="0" applyAlignment="1">
      <x:alignment wrapText="1"/>
    </x:xf>
    <x:xf numFmtId="0" fontId="2" fillId="3" borderId="0" xfId="0" applyAlignment="1">
      <x:alignment vertical="center" wrapText="1"/>
    </x:xf>
    <x:xf numFmtId="0" fontId="0" fillId="3" borderId="1" xfId="0"/>
    <x:xf numFmtId="0" fontId="2" fillId="3" borderId="1" xfId="0"/>
    <x:xf numFmtId="0" fontId="2" fillId="3" borderId="1" xfId="0" applyAlignment="1">
      <x:alignment wrapText="1"/>
    </x:xf>
    <x:xf numFmtId="0" fontId="2" fillId="3" borderId="1" xfId="0" applyAlignment="1">
      <x:alignment vertical="center" wrapText="1"/>
    </x:xf>
    <x:xf numFmtId="0" fontId="0" fillId="4" borderId="0" xfId="0"/>
    <x:xf numFmtId="0" fontId="0" fillId="4" borderId="1" xfId="0"/>
    <x:xf numFmtId="0" fontId="3" fillId="4" borderId="0" xfId="0"/>
    <x:xf numFmtId="0" fontId="3" fillId="4" borderId="1" xfId="0"/>
    <x:xf numFmtId="0" fontId="4" fillId="3" borderId="0" xfId="0"/>
    <x:xf numFmtId="0" fontId="4" fillId="3" borderId="0" xfId="0" applyAlignment="1">
      <x:alignment wrapText="1"/>
    </x:xf>
    <x:xf numFmtId="0" fontId="4" fillId="3" borderId="1" xfId="0"/>
    <x:xf numFmtId="0" fontId="4" fillId="3" borderId="1" xfId="0" applyAlignment="1">
      <x:alignment wrapText="1"/>
    </x:xf>
    <x:xf numFmtId="0" fontId="5" fillId="4" borderId="0" xfId="0"/>
    <x:xf numFmtId="0" fontId="5" fillId="4" borderId="0" xfId="0" applyAlignment="1">
      <x:alignment wrapText="1"/>
    </x:xf>
    <x:xf numFmtId="0" fontId="5" fillId="4" borderId="0" xfId="0" applyAlignment="1">
      <x:alignment vertical="center" wrapText="1"/>
    </x:xf>
    <x:xf numFmtId="0" fontId="5" fillId="4" borderId="1" xfId="0"/>
    <x:xf numFmtId="0" fontId="5" fillId="4" borderId="1" xfId="0" applyAlignment="1">
      <x:alignment wrapText="1"/>
    </x:xf>
    <x:xf numFmtId="0" fontId="5" fillId="4" borderId="1" xfId="0" applyAlignment="1">
      <x:alignment vertical="center" wrapText="1"/>
    </x:xf>
    <x:xf numFmtId="10" fontId="0" fillId="0" borderId="0" xfId="0"/>
    <x:xf numFmtId="10" fontId="0" fillId="0" borderId="1" xfId="0"/>
    <x:xf numFmtId="2" fontId="0" fillId="0" borderId="0" xfId="0"/>
    <x:xf numFmtId="2" fontId="0" fillId="0" borderId="1" xfId="0"/>
    <x:xf numFmtId="0" fontId="0" fillId="0" borderId="0" xfId="0" applyAlignment="1">
      <x:alignment wrapText="1"/>
    </x:xf>
    <x:xf numFmtId="0" fontId="0" fillId="0" borderId="1" xfId="0" applyAlignment="1">
      <x:alignment wrapText="1"/>
    </x:xf>
    <x:xf numFmtId="0" fontId="0" fillId="5" borderId="0" xfId="0"/>
    <x:xf numFmtId="0" fontId="0" fillId="5" borderId="0" xfId="0" applyAlignment="1">
      <x:alignment wrapText="1"/>
    </x:xf>
    <x:xf numFmtId="0" fontId="0" fillId="5" borderId="1" xfId="0"/>
    <x:xf numFmtId="0" fontId="0" fillId="5" borderId="1" xfId="0" applyAlignment="1">
      <x:alignment wrapText="1"/>
    </x:xf>
    <x:xf numFmtId="164" fontId="0" fillId="0" borderId="0" xfId="0"/>
    <x:xf numFmtId="164" fontId="0" fillId="0" borderId="1" xfId="0"/>
    <x:xf numFmtId="0" fontId="6" fillId="0" borderId="0" xfId="0"/>
    <x:xf numFmtId="0" fontId="6" fillId="0" borderId="1" xfId="0"/>
    <x:xf numFmtId="0" fontId="0" fillId="3" borderId="0" xfId="0" applyAlignment="1">
      <x:alignment wrapText="1"/>
    </x:xf>
    <x:xf numFmtId="0" fontId="0" fillId="3" borderId="1" xfId="0" applyAlignment="1">
      <x:alignment wrapText="1"/>
    </x:xf>
    <x:xf numFmtId="0" fontId="7" fillId="4" borderId="0" xfId="0"/>
    <x:xf numFmtId="0" fontId="7" fillId="4" borderId="1" xfId="0"/>
    <x:xf numFmtId="0" fontId="8" fillId="3" borderId="0" xfId="0"/>
    <x:xf numFmtId="0" fontId="8" fillId="3" borderId="1" xfId="0"/>
    <x:xf numFmtId="10" fontId="8" fillId="3" borderId="0" xfId="0"/>
    <x:xf numFmtId="10" fontId="8" fillId="3" borderId="1" xfId="0"/>
    <x:xf numFmtId="0" fontId="0" fillId="0" borderId="0" xfId="0"/>
    <x:xf numFmtId="0" fontId="0" fillId="6" borderId="0" xfId="0"/>
    <x:xf numFmtId="0" fontId="7" fillId="6" borderId="0" xfId="0"/>
    <x:xf numFmtId="0" fontId="7" fillId="6" borderId="0" xfId="0" applyAlignment="1">
      <x:alignment wrapText="1"/>
    </x:xf>
    <x:xf numFmtId="0" fontId="7" fillId="6" borderId="0" xfId="0" applyAlignment="1">
      <x:alignment vertical="center" wrapText="1"/>
    </x:xf>
    <x:xf numFmtId="0" fontId="9" fillId="0" borderId="0" xfId="0"/>
    <x:xf numFmtId="165" fontId="0" fillId="0" borderId="0" xfId="0"/>
    <x:xf numFmtId="0" fontId="7" fillId="6" borderId="0" xfId="0" applyAlignment="1">
      <x:alignment vertical="center"/>
    </x:xf>
    <x:xf numFmtId="0" fontId="0" fillId="7" borderId="0" xfId="0"/>
    <x:xf numFmtId="0" fontId="10" fillId="7" borderId="0" xfId="0"/>
    <x:xf numFmtId="165" fontId="11" fillId="0" borderId="0" xfId="0"/>
    <x:xf numFmtId="0" fontId="0" fillId="8" borderId="0" xfId="0"/>
    <x:xf numFmtId="0" fontId="12" fillId="8" borderId="0" xfId="0"/>
    <x:xf numFmtId="0" fontId="12" fillId="8" borderId="0" xfId="0" applyAlignment="1">
      <x:alignment wrapText="1"/>
    </x:xf>
    <x:xf numFmtId="165" fontId="8" fillId="3" borderId="0" xfId="0"/>
    <x:xf numFmtId="166" fontId="9" fillId="0" borderId="0" xfId="0"/>
    <x:xf numFmtId="0" fontId="0" fillId="8" borderId="0" xfId="0" applyAlignment="1">
      <x:alignment wrapText="1"/>
    </x:xf>
    <x:xf numFmtId="0" fontId="0" fillId="9" borderId="0" xfId="0"/>
    <x:xf numFmtId="0" fontId="9" fillId="9" borderId="0" xfId="0"/>
    <x:xf numFmtId="0" fontId="1" fillId="10" borderId="0" xfId="0" applyAlignment="1">
      <x:alignment vertical="center"/>
    </x:xf>
    <x:xf numFmtId="0" fontId="0" fillId="10" borderId="0" xfId="0"/>
    <x:xf numFmtId="0" fontId="2" fillId="10" borderId="0" xfId="0" applyAlignment="1">
      <x:alignment vertical="center" wrapText="1"/>
    </x:xf>
    <x:xf numFmtId="0" fontId="5" fillId="10" borderId="0" xfId="0" applyAlignment="1">
      <x:alignment vertical="center" wrapText="1"/>
    </x:xf>
    <x:xf numFmtId="0" fontId="7" fillId="10" borderId="0" xfId="0" applyAlignment="1">
      <x:alignment vertical="center" wrapText="1"/>
    </x:xf>
    <x:xf numFmtId="0" fontId="7" fillId="10" borderId="0" xfId="0" applyAlignment="1">
      <x:alignment vertical="center"/>
    </x:xf>
    <x:xf numFmtId="0" fontId="6" fillId="10" borderId="0" xfId="0"/>
    <x:xf numFmtId="164" fontId="0" fillId="10" borderId="0" xfId="0"/>
    <x:xf numFmtId="166" fontId="9" fillId="10" borderId="0" xfId="0"/>
    <x:xf numFmtId="165" fontId="0" fillId="10" borderId="0" xfId="0"/>
    <x:xf numFmtId="0" fontId="10" fillId="10" borderId="0" xfId="0"/>
    <x:xf numFmtId="165" fontId="11" fillId="10" borderId="0" xfId="0"/>
    <x:xf numFmtId="0" fontId="12" fillId="10" borderId="0" xfId="0" applyAlignment="1">
      <x:alignment wrapText="1"/>
    </x:xf>
    <x:xf numFmtId="0" fontId="7" fillId="10" borderId="0" xfId="0"/>
    <x:xf numFmtId="0" fontId="0" fillId="10" borderId="0" xfId="0" applyAlignment="1">
      <x:alignment wrapText="1"/>
    </x:xf>
    <x:xf numFmtId="0" fontId="8" fillId="10" borderId="0" xfId="0"/>
    <x:xf numFmtId="165" fontId="8" fillId="10" borderId="0" xfId="0"/>
    <x:xf numFmtId="0" fontId="13" fillId="10" borderId="0" xfId="0" applyAlignment="1">
      <x:alignment vertical="center"/>
    </x:xf>
    <x:xf numFmtId="0" fontId="14" fillId="10" borderId="0" xfId="0"/>
    <x:xf numFmtId="0" fontId="15" fillId="10" borderId="0" xfId="0" applyAlignment="1">
      <x:alignment vertical="center" wrapText="1"/>
    </x:xf>
    <x:xf numFmtId="0" fontId="16" fillId="10" borderId="0" xfId="0" applyAlignment="1">
      <x:alignment vertical="center" wrapText="1"/>
    </x:xf>
    <x:xf numFmtId="0" fontId="17" fillId="10" borderId="0" xfId="0" applyAlignment="1">
      <x:alignment vertical="center" wrapText="1"/>
    </x:xf>
    <x:xf numFmtId="0" fontId="17" fillId="10" borderId="0" xfId="0" applyAlignment="1">
      <x:alignment vertical="center"/>
    </x:xf>
    <x:xf numFmtId="164" fontId="14" fillId="10" borderId="0" xfId="0"/>
    <x:xf numFmtId="166" fontId="14" fillId="10" borderId="0" xfId="0"/>
    <x:xf numFmtId="165" fontId="14" fillId="10" borderId="0" xfId="0"/>
    <x:xf numFmtId="0" fontId="17" fillId="10" borderId="0" xfId="0"/>
    <x:xf numFmtId="0" fontId="14" fillId="10" borderId="0" xfId="0" applyAlignment="1">
      <x:alignment wrapText="1"/>
    </x:xf>
    <x:xf numFmtId="165" fontId="17" fillId="10" borderId="0" xfId="0"/>
    <x:xf numFmtId="0" fontId="13" fillId="11" borderId="0" xfId="0" applyAlignment="1">
      <x:alignment vertical="center"/>
    </x:xf>
    <x:xf numFmtId="0" fontId="14" fillId="11" borderId="0" xfId="0"/>
    <x:xf numFmtId="0" fontId="1" fillId="11" borderId="0" xfId="0" applyAlignment="1">
      <x:alignment vertical="center"/>
    </x:xf>
    <x:xf numFmtId="0" fontId="1" fillId="11" borderId="0" xfId="0"/>
    <x:xf numFmtId="0" fontId="15" fillId="12" borderId="0" xfId="0" applyAlignment="1">
      <x:alignment vertical="center" wrapText="1"/>
    </x:xf>
    <x:xf numFmtId="0" fontId="14" fillId="12" borderId="0" xfId="0"/>
    <x:xf numFmtId="0" fontId="18" fillId="12" borderId="0" xfId="0" applyAlignment="1">
      <x:alignment vertical="center" wrapText="1"/>
    </x:xf>
    <x:xf numFmtId="0" fontId="18" fillId="12" borderId="0" xfId="0"/>
    <x:xf numFmtId="0" fontId="18" fillId="12" borderId="0" xfId="0" applyAlignment="1">
      <x:alignment wrapText="1"/>
    </x:xf>
    <x:xf numFmtId="0" fontId="14" fillId="13" borderId="0" xfId="0"/>
    <x:xf numFmtId="0" fontId="7" fillId="13" borderId="0" xfId="0"/>
    <x:xf numFmtId="0" fontId="14" fillId="14" borderId="0" xfId="0"/>
    <x:xf numFmtId="0" fontId="19" fillId="14" borderId="0" xfId="0"/>
    <x:xf numFmtId="0" fontId="20" fillId="10" borderId="0" xfId="0" applyAlignment="1">
      <x:alignment vertical="center" wrapText="1"/>
    </x:xf>
    <x:xf numFmtId="0" fontId="21" fillId="10" borderId="0" xfId="0"/>
    <x:xf numFmtId="0" fontId="22" fillId="10" borderId="0" xfId="0" applyAlignment="1">
      <x:alignment vertical="center" wrapText="1"/>
    </x:xf>
    <x:xf numFmtId="0" fontId="23" fillId="10" borderId="0" xfId="0"/>
    <x:xf numFmtId="164" fontId="14" fillId="13" borderId="0" xfId="0"/>
    <x:xf numFmtId="166" fontId="14" fillId="13" borderId="0" xfId="0"/>
    <x:xf numFmtId="165" fontId="14" fillId="13" borderId="0" xfId="0"/>
    <x:xf numFmtId="0" fontId="5" fillId="13" borderId="0" xfId="0"/>
    <x:xf numFmtId="164" fontId="5" fillId="13" borderId="0" xfId="0"/>
    <x:xf numFmtId="166" fontId="5" fillId="13" borderId="0" xfId="0"/>
    <x:xf numFmtId="165" fontId="5" fillId="13" borderId="0" xfId="0"/>
    <x:xf numFmtId="0" fontId="5" fillId="13" borderId="0" xfId="0" applyAlignment="1">
      <x:alignment wrapText="1"/>
    </x:xf>
    <x:xf numFmtId="164" fontId="5" fillId="13" borderId="0" xfId="0" applyAlignment="1">
      <x:alignment wrapText="1"/>
    </x:xf>
    <x:xf numFmtId="166" fontId="5" fillId="13" borderId="0" xfId="0" applyAlignment="1">
      <x:alignment wrapText="1"/>
    </x:xf>
    <x:xf numFmtId="165" fontId="5" fillId="13" borderId="0" xfId="0" applyAlignment="1">
      <x:alignment wrapText="1"/>
    </x:xf>
    <x:xf numFmtId="0" fontId="5" fillId="13" borderId="0" xfId="0" applyAlignment="1">
      <x:alignment vertical="center" wrapText="1"/>
    </x:xf>
    <x:xf numFmtId="164" fontId="5" fillId="13" borderId="0" xfId="0" applyAlignment="1">
      <x:alignment vertical="center" wrapText="1"/>
    </x:xf>
    <x:xf numFmtId="166" fontId="5" fillId="13" borderId="0" xfId="0" applyAlignment="1">
      <x:alignment vertical="center" wrapText="1"/>
    </x:xf>
    <x:xf numFmtId="165" fontId="5" fillId="13" borderId="0" xfId="0" applyAlignment="1">
      <x:alignment vertical="center" wrapText="1"/>
    </x:xf>
    <x:xf numFmtId="167" fontId="16" fillId="10" borderId="0" xfId="0" applyAlignment="1">
      <x:alignment vertical="center" wrapText="1"/>
    </x:xf>
    <x:xf numFmtId="167" fontId="14" fillId="10" borderId="0" xfId="0"/>
    <x:xf numFmtId="168" fontId="14" fillId="10" borderId="0" xfId="0"/>
    <x:xf numFmtId="168" fontId="17" fillId="10" borderId="0" xfId="0"/>
    <x:xf numFmtId="169" fontId="14" fillId="10" borderId="0" xfId="0"/>
    <x:xf numFmtId="169" fontId="17" fillId="10" borderId="0" xfId="0"/>
    <x:xf numFmtId="170" fontId="14" fillId="10" borderId="0" xfId="0"/>
    <x:xf numFmtId="170" fontId="17" fillId="10" borderId="0" xfId="0"/>
    <x:xf numFmtId="168" fontId="24" fillId="10" borderId="0" xfId="0"/>
    <x:xf numFmtId="168" fontId="25" fillId="10" borderId="0" xfId="0"/>
    <x:xf numFmtId="169" fontId="24" fillId="10" borderId="0" xfId="0"/>
    <x:xf numFmtId="169" fontId="25" fillId="10" borderId="0" xfId="0"/>
    <x:xf numFmtId="170" fontId="26" fillId="10" borderId="0" xfId="0"/>
    <x:xf numFmtId="170" fontId="27" fillId="10" borderId="0" xfId="0"/>
    <x:xf numFmtId="168" fontId="26" fillId="10" borderId="0" xfId="0"/>
    <x:xf numFmtId="0" fontId="14" fillId="15" borderId="0" xfId="0"/>
    <x:xf numFmtId="168" fontId="24" fillId="15" borderId="0" xfId="0"/>
    <x:xf numFmtId="170" fontId="26" fillId="15" borderId="0" xfId="0"/>
    <x:xf numFmtId="169" fontId="24" fillId="15" borderId="0" xfId="0"/>
    <x:xf numFmtId="168" fontId="26" fillId="15" borderId="0" xfId="0"/>
    <x:xf numFmtId="165" fontId="7" fillId="13" borderId="0" xfId="0"/>
    <x:xf numFmtId="165" fontId="14" fillId="12" borderId="0" xfId="0"/>
    <x:xf numFmtId="165" fontId="18" fillId="12" borderId="0" xfId="0"/>
    <x:xf numFmtId="165" fontId="18" fillId="12" borderId="0" xfId="0" applyAlignment="1">
      <x:alignment wrapText="1"/>
    </x:xf>
    <x:xf numFmtId="0" fontId="17" fillId="13" borderId="0" xfId="0"/>
    <x:xf numFmtId="165" fontId="17" fillId="13" borderId="0" xfId="0"/>
    <x:xf numFmtId="168" fontId="14" fillId="10" borderId="0" xfId="0" applyAlignment="1">
      <x:alignment wrapText="1"/>
    </x:xf>
    <x:xf numFmtId="168" fontId="24" fillId="10" borderId="0" xfId="0" applyAlignment="1">
      <x:alignment wrapText="1"/>
    </x:xf>
    <x:xf numFmtId="168" fontId="26" fillId="10" borderId="0" xfId="0" applyAlignment="1">
      <x:alignment wrapText="1"/>
    </x:xf>
    <x:xf numFmtId="0" fontId="14" fillId="15" borderId="0" xfId="0" applyAlignment="1">
      <x:alignment wrapText="1"/>
    </x:xf>
    <x:xf numFmtId="168" fontId="24" fillId="15" borderId="0" xfId="0" applyAlignment="1">
      <x:alignment wrapText="1"/>
    </x:xf>
    <x:xf numFmtId="168" fontId="26" fillId="15" borderId="0" xfId="0" applyAlignment="1">
      <x:alignment wrapText="1"/>
    </x:xf>
    <x:xf numFmtId="0" fontId="28" fillId="12" borderId="0" xfId="0"/>
    <x:xf numFmtId="0" fontId="28" fillId="12" borderId="0" xfId="0" applyAlignment="1">
      <x:alignment wrapText="1"/>
    </x:xf>
    <x:xf numFmtId="0" fontId="28" fillId="12" borderId="0" xfId="0" applyAlignment="1">
      <x:alignment vertical="center" wrapText="1"/>
    </x:xf>
    <x:xf numFmtId="0" fontId="21" fillId="0" borderId="0" xfId="0"/>
    <x:xf numFmtId="0" fontId="21" fillId="9" borderId="0" xfId="0"/>
    <x:xf numFmtId="2" fontId="0" fillId="0" borderId="0" xfId="0"/>
    <x:xf numFmtId="10" fontId="0" fillId="0" borderId="0" xfId="0"/>
    <x:xf numFmtId="164" fontId="0" fillId="0" borderId="0" xfId="0"/>
    <x:xf numFmtId="0" fontId="30" fillId="16" borderId="2" xfId="0" applyAlignment="1">
      <x:alignment horizontal="left" vertical="center"/>
    </x:xf>
    <x:xf numFmtId="0" fontId="29" fillId="0" borderId="1" xfId="0" applyAlignment="1">
      <x:alignment horizontal="general" vertical="bottom"/>
    </x:xf>
    <x:xf numFmtId="0" fontId="31" fillId="17" borderId="2" xfId="0" applyAlignment="1">
      <x:alignment horizontal="left" vertical="center" wrapText="1"/>
    </x:xf>
    <x:xf numFmtId="0" fontId="32" fillId="18" borderId="2" xfId="0" applyAlignment="1">
      <x:alignment horizontal="left" vertical="center"/>
    </x:xf>
    <x:xf numFmtId="0" fontId="33" fillId="19" borderId="2" xfId="0" applyAlignment="1">
      <x:alignment horizontal="left" vertical="center"/>
    </x:xf>
    <x:xf numFmtId="167" fontId="33" fillId="19" borderId="2" xfId="0" applyAlignment="1">
      <x:alignment horizontal="left" vertical="center"/>
    </x:xf>
    <x:xf numFmtId="0" fontId="35" fillId="17" borderId="2" xfId="0" applyAlignment="1">
      <x:alignment horizontal="left" vertical="center" wrapText="1"/>
    </x:xf>
    <x:xf numFmtId="0" fontId="34" fillId="17" borderId="2" xfId="0" applyAlignment="1">
      <x:alignment horizontal="right" vertical="center"/>
    </x:xf>
    <x:xf numFmtId="0" fontId="34" fillId="20" borderId="2" xfId="0" applyAlignment="1">
      <x:alignment horizontal="left" vertical="center" wrapText="1"/>
    </x:xf>
    <x:xf numFmtId="167" fontId="34" fillId="20" borderId="2" xfId="0" applyAlignment="1">
      <x:alignment horizontal="left" vertical="center" wrapText="1"/>
    </x:xf>
    <x:xf numFmtId="3" fontId="36" fillId="17" borderId="2" xfId="0" applyAlignment="1">
      <x:alignment horizontal="right" vertical="center"/>
    </x:xf>
    <x:xf numFmtId="166" fontId="29" fillId="0" borderId="1" xfId="0" applyAlignment="1">
      <x:alignment horizontal="general" vertical="bottom"/>
    </x:xf>
    <x:xf numFmtId="165" fontId="29" fillId="0" borderId="1" xfId="0" applyAlignment="1">
      <x:alignment horizontal="general" vertical="bottom"/>
    </x:xf>
    <x:xf numFmtId="0" fontId="34" fillId="0" borderId="2" xfId="0" applyAlignment="1">
      <x:alignment horizontal="left" vertical="center" wrapText="1"/>
    </x:xf>
    <x:xf numFmtId="167" fontId="34" fillId="0" borderId="2" xfId="0" applyAlignment="1">
      <x:alignment horizontal="left" vertical="center" wrapText="1"/>
    </x:xf>
    <x:xf numFmtId="164" fontId="34" fillId="17" borderId="2" xfId="0" applyAlignment="1">
      <x:alignment horizontal="right" vertical="center"/>
    </x:xf>
    <x:xf numFmtId="164" fontId="29" fillId="0" borderId="1" xfId="0" applyAlignment="1">
      <x:alignment horizontal="general" vertical="bottom"/>
    </x:xf>
    <x:xf numFmtId="0" fontId="37" fillId="18" borderId="2" xfId="0" applyAlignment="1">
      <x:alignment horizontal="center" vertical="center" wrapText="1"/>
    </x:xf>
    <x:xf numFmtId="168" fontId="37" fillId="18" borderId="2" xfId="0" applyAlignment="1">
      <x:alignment horizontal="center" vertical="center" wrapText="1"/>
    </x:xf>
    <x:xf numFmtId="170" fontId="37" fillId="18" borderId="2" xfId="0" applyAlignment="1">
      <x:alignment horizontal="center" vertical="center" wrapText="1"/>
    </x:xf>
    <x:xf numFmtId="169" fontId="37" fillId="18" borderId="2" xfId="0" applyAlignment="1">
      <x:alignment horizontal="center" vertical="center" wrapText="1"/>
    </x:xf>
    <x:xf numFmtId="170" fontId="29" fillId="0" borderId="1" xfId="0" applyAlignment="1">
      <x:alignment horizontal="general" vertical="bottom"/>
    </x:xf>
    <x:xf numFmtId="168" fontId="29" fillId="0" borderId="1" xfId="0" applyAlignment="1">
      <x:alignment horizontal="general" vertical="bottom"/>
    </x:xf>
    <x:xf numFmtId="171" fontId="34" fillId="20" borderId="2" xfId="0" applyAlignment="1">
      <x:alignment horizontal="left" vertical="center"/>
    </x:xf>
    <x:xf numFmtId="166" fontId="34" fillId="20" borderId="2" xfId="0" applyAlignment="1">
      <x:alignment horizontal="left" vertical="center"/>
    </x:xf>
    <x:xf numFmtId="172" fontId="34" fillId="20" borderId="2" xfId="0" applyAlignment="1">
      <x:alignment horizontal="left" vertical="center"/>
    </x:xf>
    <x:xf numFmtId="3" fontId="34" fillId="20" borderId="2" xfId="0" applyAlignment="1">
      <x:alignment horizontal="left" vertical="center"/>
    </x:xf>
    <x:xf numFmtId="171" fontId="34" fillId="0" borderId="2" xfId="0" applyAlignment="1">
      <x:alignment horizontal="left" vertical="center"/>
    </x:xf>
    <x:xf numFmtId="166" fontId="34" fillId="0" borderId="2" xfId="0" applyAlignment="1">
      <x:alignment horizontal="left" vertical="center"/>
    </x:xf>
    <x:xf numFmtId="172" fontId="34" fillId="0" borderId="2" xfId="0" applyAlignment="1">
      <x:alignment horizontal="left" vertical="center"/>
    </x:xf>
    <x:xf numFmtId="3" fontId="34" fillId="0" borderId="2" xfId="0" applyAlignment="1">
      <x:alignment horizontal="left" vertical="center"/>
    </x:xf>
    <x:xf numFmtId="0" fontId="38" fillId="17" borderId="2" xfId="0" applyAlignment="1">
      <x:alignment horizontal="left" vertical="center" wrapText="1"/>
    </x:xf>
    <x:xf numFmtId="0" fontId="0" fillId="0" borderId="0" xfId="0"/>
    <x:xf numFmtId="0" fontId="0" fillId="2" borderId="0" xfId="0"/>
    <x:xf numFmtId="0" fontId="1" fillId="2" borderId="0" xfId="0"/>
    <x:xf numFmtId="0" fontId="1" fillId="2" borderId="0" xfId="0" applyAlignment="1">
      <x:alignment vertical="center"/>
    </x:xf>
    <x:xf numFmtId="0" fontId="0" fillId="3" borderId="0" xfId="0"/>
    <x:xf numFmtId="0" fontId="2" fillId="3" borderId="0" xfId="0"/>
    <x:xf numFmtId="0" fontId="2" fillId="3" borderId="0" xfId="0" applyAlignment="1">
      <x:alignment wrapText="1"/>
    </x:xf>
    <x:xf numFmtId="0" fontId="2" fillId="3" borderId="0" xfId="0" applyAlignment="1">
      <x:alignment vertical="center" wrapText="1"/>
    </x:xf>
    <x:xf numFmtId="0" fontId="0" fillId="4" borderId="0" xfId="0"/>
    <x:xf numFmtId="0" fontId="3" fillId="4" borderId="0" xfId="0"/>
    <x:xf numFmtId="0" fontId="4" fillId="3" borderId="0" xfId="0"/>
    <x:xf numFmtId="0" fontId="4" fillId="3" borderId="0" xfId="0" applyAlignment="1">
      <x:alignment wrapText="1"/>
    </x:xf>
    <x:xf numFmtId="0" fontId="5" fillId="4" borderId="0" xfId="0"/>
    <x:xf numFmtId="0" fontId="5" fillId="4" borderId="0" xfId="0" applyAlignment="1">
      <x:alignment wrapText="1"/>
    </x:xf>
    <x:xf numFmtId="0" fontId="5" fillId="4" borderId="0" xfId="0" applyAlignment="1">
      <x:alignment vertical="center" wrapText="1"/>
    </x:xf>
    <x:xf numFmtId="10" fontId="0" fillId="0" borderId="0" xfId="0"/>
    <x:xf numFmtId="2" fontId="0" fillId="0" borderId="0" xfId="0"/>
    <x:xf numFmtId="0" fontId="0" fillId="0" borderId="0" xfId="0" applyAlignment="1">
      <x:alignment wrapText="1"/>
    </x:xf>
    <x:xf numFmtId="0" fontId="0" fillId="5" borderId="0" xfId="0"/>
    <x:xf numFmtId="0" fontId="0" fillId="5" borderId="0" xfId="0" applyAlignment="1">
      <x:alignment wrapText="1"/>
    </x:xf>
    <x:xf numFmtId="164" fontId="0" fillId="0" borderId="0" xfId="0"/>
    <x:xf numFmtId="0" fontId="6" fillId="0" borderId="0" xfId="0"/>
    <x:xf numFmtId="0" fontId="0" fillId="3" borderId="0" xfId="0" applyAlignment="1">
      <x:alignment wrapText="1"/>
    </x:xf>
    <x:xf numFmtId="0" fontId="7" fillId="4" borderId="0" xfId="0"/>
    <x:xf numFmtId="0" fontId="8" fillId="3" borderId="0" xfId="0"/>
    <x:xf numFmtId="10" fontId="8" fillId="3" borderId="0" xfId="0"/>
    <x:xf numFmtId="0" fontId="0" fillId="6" borderId="0" xfId="0"/>
    <x:xf numFmtId="0" fontId="7" fillId="6" borderId="0" xfId="0"/>
    <x:xf numFmtId="0" fontId="7" fillId="6" borderId="0" xfId="0" applyAlignment="1">
      <x:alignment wrapText="1"/>
    </x:xf>
    <x:xf numFmtId="0" fontId="7" fillId="6" borderId="0" xfId="0" applyAlignment="1">
      <x:alignment vertical="center" wrapText="1"/>
    </x:xf>
    <x:xf numFmtId="0" fontId="9" fillId="0" borderId="0" xfId="0"/>
    <x:xf numFmtId="165" fontId="0" fillId="0" borderId="0" xfId="0"/>
    <x:xf numFmtId="0" fontId="7" fillId="6" borderId="0" xfId="0" applyAlignment="1">
      <x:alignment vertical="center"/>
    </x:xf>
    <x:xf numFmtId="0" fontId="0" fillId="7" borderId="0" xfId="0"/>
    <x:xf numFmtId="0" fontId="10" fillId="7" borderId="0" xfId="0"/>
    <x:xf numFmtId="165" fontId="11" fillId="0" borderId="0" xfId="0"/>
    <x:xf numFmtId="0" fontId="0" fillId="8" borderId="0" xfId="0"/>
    <x:xf numFmtId="0" fontId="12" fillId="8" borderId="0" xfId="0"/>
    <x:xf numFmtId="0" fontId="12" fillId="8" borderId="0" xfId="0" applyAlignment="1">
      <x:alignment wrapText="1"/>
    </x:xf>
    <x:xf numFmtId="165" fontId="8" fillId="3" borderId="0" xfId="0"/>
    <x:xf numFmtId="166" fontId="9" fillId="0" borderId="0" xfId="0"/>
    <x:xf numFmtId="0" fontId="0" fillId="8" borderId="0" xfId="0" applyAlignment="1">
      <x:alignment wrapText="1"/>
    </x:xf>
    <x:xf numFmtId="0" fontId="0" fillId="9" borderId="0" xfId="0"/>
    <x:xf numFmtId="0" fontId="9" fillId="9" borderId="0" xfId="0"/>
    <x:xf numFmtId="0" fontId="1" fillId="10" borderId="0" xfId="0" applyAlignment="1">
      <x:alignment vertical="center"/>
    </x:xf>
    <x:xf numFmtId="0" fontId="0" fillId="10" borderId="0" xfId="0"/>
    <x:xf numFmtId="0" fontId="2" fillId="10" borderId="0" xfId="0" applyAlignment="1">
      <x:alignment vertical="center" wrapText="1"/>
    </x:xf>
    <x:xf numFmtId="0" fontId="5" fillId="10" borderId="0" xfId="0" applyAlignment="1">
      <x:alignment vertical="center" wrapText="1"/>
    </x:xf>
    <x:xf numFmtId="0" fontId="7" fillId="10" borderId="0" xfId="0" applyAlignment="1">
      <x:alignment vertical="center" wrapText="1"/>
    </x:xf>
    <x:xf numFmtId="0" fontId="7" fillId="10" borderId="0" xfId="0" applyAlignment="1">
      <x:alignment vertical="center"/>
    </x:xf>
    <x:xf numFmtId="0" fontId="6" fillId="10" borderId="0" xfId="0"/>
    <x:xf numFmtId="164" fontId="0" fillId="10" borderId="0" xfId="0"/>
    <x:xf numFmtId="166" fontId="9" fillId="10" borderId="0" xfId="0"/>
    <x:xf numFmtId="165" fontId="0" fillId="10" borderId="0" xfId="0"/>
    <x:xf numFmtId="0" fontId="10" fillId="10" borderId="0" xfId="0"/>
    <x:xf numFmtId="165" fontId="11" fillId="10" borderId="0" xfId="0"/>
    <x:xf numFmtId="0" fontId="12" fillId="10" borderId="0" xfId="0" applyAlignment="1">
      <x:alignment wrapText="1"/>
    </x:xf>
    <x:xf numFmtId="0" fontId="7" fillId="10" borderId="0" xfId="0"/>
    <x:xf numFmtId="0" fontId="0" fillId="10" borderId="0" xfId="0" applyAlignment="1">
      <x:alignment wrapText="1"/>
    </x:xf>
    <x:xf numFmtId="0" fontId="8" fillId="10" borderId="0" xfId="0"/>
    <x:xf numFmtId="165" fontId="8" fillId="10" borderId="0" xfId="0"/>
    <x:xf numFmtId="0" fontId="13" fillId="10" borderId="0" xfId="0" applyAlignment="1">
      <x:alignment vertical="center"/>
    </x:xf>
    <x:xf numFmtId="0" fontId="14" fillId="10" borderId="0" xfId="0"/>
    <x:xf numFmtId="0" fontId="15" fillId="10" borderId="0" xfId="0" applyAlignment="1">
      <x:alignment vertical="center" wrapText="1"/>
    </x:xf>
    <x:xf numFmtId="0" fontId="16" fillId="10" borderId="0" xfId="0" applyAlignment="1">
      <x:alignment vertical="center" wrapText="1"/>
    </x:xf>
    <x:xf numFmtId="0" fontId="17" fillId="10" borderId="0" xfId="0" applyAlignment="1">
      <x:alignment vertical="center" wrapText="1"/>
    </x:xf>
    <x:xf numFmtId="0" fontId="17" fillId="10" borderId="0" xfId="0" applyAlignment="1">
      <x:alignment vertical="center"/>
    </x:xf>
    <x:xf numFmtId="164" fontId="14" fillId="10" borderId="0" xfId="0"/>
    <x:xf numFmtId="166" fontId="14" fillId="10" borderId="0" xfId="0"/>
    <x:xf numFmtId="165" fontId="14" fillId="10" borderId="0" xfId="0"/>
    <x:xf numFmtId="0" fontId="17" fillId="10" borderId="0" xfId="0"/>
    <x:xf numFmtId="0" fontId="14" fillId="10" borderId="0" xfId="0" applyAlignment="1">
      <x:alignment wrapText="1"/>
    </x:xf>
    <x:xf numFmtId="165" fontId="17" fillId="10" borderId="0" xfId="0"/>
    <x:xf numFmtId="0" fontId="13" fillId="11" borderId="0" xfId="0" applyAlignment="1">
      <x:alignment vertical="center"/>
    </x:xf>
    <x:xf numFmtId="0" fontId="14" fillId="11" borderId="0" xfId="0"/>
    <x:xf numFmtId="0" fontId="1" fillId="11" borderId="0" xfId="0" applyAlignment="1">
      <x:alignment vertical="center"/>
    </x:xf>
    <x:xf numFmtId="0" fontId="1" fillId="11" borderId="0" xfId="0"/>
    <x:xf numFmtId="0" fontId="15" fillId="12" borderId="0" xfId="0" applyAlignment="1">
      <x:alignment vertical="center" wrapText="1"/>
    </x:xf>
    <x:xf numFmtId="0" fontId="14" fillId="12" borderId="0" xfId="0"/>
    <x:xf numFmtId="0" fontId="18" fillId="12" borderId="0" xfId="0" applyAlignment="1">
      <x:alignment vertical="center" wrapText="1"/>
    </x:xf>
    <x:xf numFmtId="0" fontId="18" fillId="12" borderId="0" xfId="0"/>
    <x:xf numFmtId="0" fontId="18" fillId="12" borderId="0" xfId="0" applyAlignment="1">
      <x:alignment wrapText="1"/>
    </x:xf>
    <x:xf numFmtId="0" fontId="14" fillId="13" borderId="0" xfId="0"/>
    <x:xf numFmtId="0" fontId="7" fillId="13" borderId="0" xfId="0"/>
    <x:xf numFmtId="0" fontId="14" fillId="14" borderId="0" xfId="0"/>
    <x:xf numFmtId="0" fontId="19" fillId="14" borderId="0" xfId="0"/>
    <x:xf numFmtId="0" fontId="20" fillId="10" borderId="0" xfId="0" applyAlignment="1">
      <x:alignment vertical="center" wrapText="1"/>
    </x:xf>
    <x:xf numFmtId="0" fontId="21" fillId="10" borderId="0" xfId="0"/>
    <x:xf numFmtId="0" fontId="22" fillId="10" borderId="0" xfId="0" applyAlignment="1">
      <x:alignment vertical="center" wrapText="1"/>
    </x:xf>
    <x:xf numFmtId="0" fontId="23" fillId="10" borderId="0" xfId="0"/>
    <x:xf numFmtId="164" fontId="14" fillId="13" borderId="0" xfId="0"/>
    <x:xf numFmtId="166" fontId="14" fillId="13" borderId="0" xfId="0"/>
    <x:xf numFmtId="165" fontId="14" fillId="13" borderId="0" xfId="0"/>
    <x:xf numFmtId="0" fontId="5" fillId="13" borderId="0" xfId="0"/>
    <x:xf numFmtId="164" fontId="5" fillId="13" borderId="0" xfId="0"/>
    <x:xf numFmtId="166" fontId="5" fillId="13" borderId="0" xfId="0"/>
    <x:xf numFmtId="165" fontId="5" fillId="13" borderId="0" xfId="0"/>
    <x:xf numFmtId="0" fontId="5" fillId="13" borderId="0" xfId="0" applyAlignment="1">
      <x:alignment wrapText="1"/>
    </x:xf>
    <x:xf numFmtId="164" fontId="5" fillId="13" borderId="0" xfId="0" applyAlignment="1">
      <x:alignment wrapText="1"/>
    </x:xf>
    <x:xf numFmtId="166" fontId="5" fillId="13" borderId="0" xfId="0" applyAlignment="1">
      <x:alignment wrapText="1"/>
    </x:xf>
    <x:xf numFmtId="165" fontId="5" fillId="13" borderId="0" xfId="0" applyAlignment="1">
      <x:alignment wrapText="1"/>
    </x:xf>
    <x:xf numFmtId="0" fontId="5" fillId="13" borderId="0" xfId="0" applyAlignment="1">
      <x:alignment vertical="center" wrapText="1"/>
    </x:xf>
    <x:xf numFmtId="164" fontId="5" fillId="13" borderId="0" xfId="0" applyAlignment="1">
      <x:alignment vertical="center" wrapText="1"/>
    </x:xf>
    <x:xf numFmtId="166" fontId="5" fillId="13" borderId="0" xfId="0" applyAlignment="1">
      <x:alignment vertical="center" wrapText="1"/>
    </x:xf>
    <x:xf numFmtId="165" fontId="5" fillId="13" borderId="0" xfId="0" applyAlignment="1">
      <x:alignment vertical="center" wrapText="1"/>
    </x:xf>
    <x:xf numFmtId="167" fontId="16" fillId="10" borderId="0" xfId="0" applyAlignment="1">
      <x:alignment vertical="center" wrapText="1"/>
    </x:xf>
    <x:xf numFmtId="167" fontId="14" fillId="10" borderId="0" xfId="0"/>
    <x:xf numFmtId="168" fontId="14" fillId="10" borderId="0" xfId="0"/>
    <x:xf numFmtId="168" fontId="17" fillId="10" borderId="0" xfId="0"/>
    <x:xf numFmtId="169" fontId="14" fillId="10" borderId="0" xfId="0"/>
    <x:xf numFmtId="169" fontId="17" fillId="10" borderId="0" xfId="0"/>
    <x:xf numFmtId="170" fontId="14" fillId="10" borderId="0" xfId="0"/>
    <x:xf numFmtId="170" fontId="17" fillId="10" borderId="0" xfId="0"/>
    <x:xf numFmtId="168" fontId="24" fillId="10" borderId="0" xfId="0"/>
    <x:xf numFmtId="168" fontId="25" fillId="10" borderId="0" xfId="0"/>
    <x:xf numFmtId="169" fontId="24" fillId="10" borderId="0" xfId="0"/>
    <x:xf numFmtId="169" fontId="25" fillId="10" borderId="0" xfId="0"/>
    <x:xf numFmtId="170" fontId="26" fillId="10" borderId="0" xfId="0"/>
    <x:xf numFmtId="170" fontId="27" fillId="10" borderId="0" xfId="0"/>
    <x:xf numFmtId="168" fontId="26" fillId="10" borderId="0" xfId="0"/>
    <x:xf numFmtId="0" fontId="14" fillId="15" borderId="0" xfId="0"/>
    <x:xf numFmtId="168" fontId="24" fillId="15" borderId="0" xfId="0"/>
    <x:xf numFmtId="170" fontId="26" fillId="15" borderId="0" xfId="0"/>
    <x:xf numFmtId="169" fontId="24" fillId="15" borderId="0" xfId="0"/>
    <x:xf numFmtId="168" fontId="26" fillId="15" borderId="0" xfId="0"/>
    <x:xf numFmtId="165" fontId="7" fillId="13" borderId="0" xfId="0"/>
    <x:xf numFmtId="165" fontId="14" fillId="12" borderId="0" xfId="0"/>
    <x:xf numFmtId="165" fontId="18" fillId="12" borderId="0" xfId="0"/>
    <x:xf numFmtId="165" fontId="18" fillId="12" borderId="0" xfId="0" applyAlignment="1">
      <x:alignment wrapText="1"/>
    </x:xf>
    <x:xf numFmtId="0" fontId="17" fillId="13" borderId="0" xfId="0"/>
    <x:xf numFmtId="165" fontId="17" fillId="13" borderId="0" xfId="0"/>
    <x:xf numFmtId="168" fontId="14" fillId="10" borderId="0" xfId="0" applyAlignment="1">
      <x:alignment wrapText="1"/>
    </x:xf>
    <x:xf numFmtId="168" fontId="24" fillId="10" borderId="0" xfId="0" applyAlignment="1">
      <x:alignment wrapText="1"/>
    </x:xf>
    <x:xf numFmtId="168" fontId="26" fillId="10" borderId="0" xfId="0" applyAlignment="1">
      <x:alignment wrapText="1"/>
    </x:xf>
    <x:xf numFmtId="0" fontId="14" fillId="15" borderId="0" xfId="0" applyAlignment="1">
      <x:alignment wrapText="1"/>
    </x:xf>
    <x:xf numFmtId="168" fontId="24" fillId="15" borderId="0" xfId="0" applyAlignment="1">
      <x:alignment wrapText="1"/>
    </x:xf>
    <x:xf numFmtId="168" fontId="26" fillId="15" borderId="0" xfId="0" applyAlignment="1">
      <x:alignment wrapText="1"/>
    </x:xf>
    <x:xf numFmtId="0" fontId="28" fillId="12" borderId="0" xfId="0"/>
    <x:xf numFmtId="0" fontId="28" fillId="12" borderId="0" xfId="0" applyAlignment="1">
      <x:alignment wrapText="1"/>
    </x:xf>
    <x:xf numFmtId="0" fontId="28" fillId="12" borderId="0" xfId="0" applyAlignment="1">
      <x:alignment vertical="center" wrapText="1"/>
    </x:xf>
    <x:xf numFmtId="0" fontId="21" fillId="0" borderId="0" xfId="0"/>
    <x:xf numFmtId="0" fontId="21" fillId="9" borderId="0" xfId="0"/>
    <x:xf numFmtId="0" fontId="30" fillId="11" borderId="2" xfId="0" applyAlignment="1">
      <x:alignment horizontal="left" vertical="center"/>
    </x:xf>
    <x:xf numFmtId="0" fontId="29" fillId="0" borderId="0" xfId="0" applyAlignment="1">
      <x:alignment horizontal="general" vertical="bottom"/>
    </x:xf>
    <x:xf numFmtId="0" fontId="31" fillId="12" borderId="2" xfId="0" applyAlignment="1">
      <x:alignment horizontal="left" vertical="center" wrapText="1"/>
    </x:xf>
    <x:xf numFmtId="0" fontId="32" fillId="13" borderId="2" xfId="0" applyAlignment="1">
      <x:alignment horizontal="left" vertical="center"/>
    </x:xf>
    <x:xf numFmtId="0" fontId="33" fillId="14" borderId="2" xfId="0" applyAlignment="1">
      <x:alignment horizontal="left" vertical="center"/>
    </x:xf>
    <x:xf numFmtId="167" fontId="33" fillId="14" borderId="2" xfId="0" applyAlignment="1">
      <x:alignment horizontal="left" vertical="center"/>
    </x:xf>
    <x:xf numFmtId="0" fontId="35" fillId="12" borderId="2" xfId="0" applyAlignment="1">
      <x:alignment horizontal="left" vertical="center" wrapText="1"/>
    </x:xf>
    <x:xf numFmtId="0" fontId="34" fillId="12" borderId="2" xfId="0" applyAlignment="1">
      <x:alignment horizontal="right" vertical="center"/>
    </x:xf>
    <x:xf numFmtId="0" fontId="34" fillId="15" borderId="2" xfId="0" applyAlignment="1">
      <x:alignment horizontal="left" vertical="center" wrapText="1"/>
    </x:xf>
    <x:xf numFmtId="167" fontId="34" fillId="15" borderId="2" xfId="0" applyAlignment="1">
      <x:alignment horizontal="left" vertical="center" wrapText="1"/>
    </x:xf>
    <x:xf numFmtId="3" fontId="36" fillId="12" borderId="2" xfId="0" applyAlignment="1">
      <x:alignment horizontal="right" vertical="center"/>
    </x:xf>
    <x:xf numFmtId="166" fontId="29" fillId="0" borderId="0" xfId="0" applyAlignment="1">
      <x:alignment horizontal="general" vertical="bottom"/>
    </x:xf>
    <x:xf numFmtId="165" fontId="29" fillId="0" borderId="0" xfId="0" applyAlignment="1">
      <x:alignment horizontal="general" vertical="bottom"/>
    </x:xf>
    <x:xf numFmtId="0" fontId="34" fillId="0" borderId="2" xfId="0" applyAlignment="1">
      <x:alignment horizontal="left" vertical="center" wrapText="1"/>
    </x:xf>
    <x:xf numFmtId="167" fontId="34" fillId="0" borderId="2" xfId="0" applyAlignment="1">
      <x:alignment horizontal="left" vertical="center" wrapText="1"/>
    </x:xf>
    <x:xf numFmtId="164" fontId="34" fillId="12" borderId="2" xfId="0" applyAlignment="1">
      <x:alignment horizontal="right" vertical="center"/>
    </x:xf>
    <x:xf numFmtId="164" fontId="29" fillId="0" borderId="0" xfId="0" applyAlignment="1">
      <x:alignment horizontal="general" vertical="bottom"/>
    </x:xf>
    <x:xf numFmtId="0" fontId="37" fillId="13" borderId="2" xfId="0" applyAlignment="1">
      <x:alignment horizontal="center" vertical="center" wrapText="1"/>
    </x:xf>
    <x:xf numFmtId="168" fontId="37" fillId="13" borderId="2" xfId="0" applyAlignment="1">
      <x:alignment horizontal="center" vertical="center" wrapText="1"/>
    </x:xf>
    <x:xf numFmtId="170" fontId="37" fillId="13" borderId="2" xfId="0" applyAlignment="1">
      <x:alignment horizontal="center" vertical="center" wrapText="1"/>
    </x:xf>
    <x:xf numFmtId="169" fontId="37" fillId="13" borderId="2" xfId="0" applyAlignment="1">
      <x:alignment horizontal="center" vertical="center" wrapText="1"/>
    </x:xf>
    <x:xf numFmtId="170" fontId="29" fillId="0" borderId="0" xfId="0" applyAlignment="1">
      <x:alignment horizontal="general" vertical="bottom"/>
    </x:xf>
    <x:xf numFmtId="168" fontId="29" fillId="0" borderId="0" xfId="0" applyAlignment="1">
      <x:alignment horizontal="general" vertical="bottom"/>
    </x:xf>
    <x:xf numFmtId="171" fontId="34" fillId="15" borderId="2" xfId="0" applyAlignment="1">
      <x:alignment horizontal="left" vertical="center"/>
    </x:xf>
    <x:xf numFmtId="166" fontId="34" fillId="15" borderId="2" xfId="0" applyAlignment="1">
      <x:alignment horizontal="left" vertical="center"/>
    </x:xf>
    <x:xf numFmtId="172" fontId="34" fillId="15" borderId="2" xfId="0" applyAlignment="1">
      <x:alignment horizontal="left" vertical="center"/>
    </x:xf>
    <x:xf numFmtId="3" fontId="34" fillId="15" borderId="2" xfId="0" applyAlignment="1">
      <x:alignment horizontal="left" vertical="center"/>
    </x:xf>
    <x:xf numFmtId="171" fontId="34" fillId="0" borderId="2" xfId="0" applyAlignment="1">
      <x:alignment horizontal="left" vertical="center"/>
    </x:xf>
    <x:xf numFmtId="166" fontId="34" fillId="0" borderId="2" xfId="0" applyAlignment="1">
      <x:alignment horizontal="left" vertical="center"/>
    </x:xf>
    <x:xf numFmtId="172" fontId="34" fillId="0" borderId="2" xfId="0" applyAlignment="1">
      <x:alignment horizontal="left" vertical="center"/>
    </x:xf>
    <x:xf numFmtId="3" fontId="34" fillId="0" borderId="2" xfId="0" applyAlignment="1">
      <x:alignment horizontal="left" vertical="center"/>
    </x:xf>
    <x:xf numFmtId="0" fontId="38" fillId="12" borderId="2" xfId="0" applyAlignment="1">
      <x:alignment horizontal="left" vertical="center" wrapText="1"/>
    </x:xf>
    <x:xf numFmtId="167" fontId="36" fillId="12" borderId="2" xfId="0" applyAlignment="1">
      <x:alignment horizontal="right" vertical="center"/>
    </x:xf>
    <x:xf numFmtId="0" fontId="30" fillId="21" borderId="2" xfId="0" applyAlignment="1">
      <x:alignment horizontal="left" vertical="center"/>
    </x:xf>
    <x:xf numFmtId="0" fontId="29" fillId="21" borderId="0" xfId="0" applyAlignment="1">
      <x:alignment horizontal="general" vertical="bottom"/>
    </x:xf>
    <x:xf numFmtId="0" fontId="31" fillId="21" borderId="2" xfId="0" applyAlignment="1">
      <x:alignment horizontal="left" vertical="center" wrapText="1"/>
    </x:xf>
    <x:xf numFmtId="0" fontId="32" fillId="21" borderId="2" xfId="0" applyAlignment="1">
      <x:alignment horizontal="left" vertical="center"/>
    </x:xf>
    <x:xf numFmtId="0" fontId="33" fillId="21" borderId="2" xfId="0" applyAlignment="1">
      <x:alignment horizontal="left" vertical="center"/>
    </x:xf>
    <x:xf numFmtId="167" fontId="33" fillId="21" borderId="2" xfId="0" applyAlignment="1">
      <x:alignment horizontal="left" vertical="center"/>
    </x:xf>
    <x:xf numFmtId="0" fontId="35" fillId="21" borderId="2" xfId="0" applyAlignment="1">
      <x:alignment horizontal="left" vertical="center" wrapText="1"/>
    </x:xf>
    <x:xf numFmtId="0" fontId="34" fillId="21" borderId="2" xfId="0" applyAlignment="1">
      <x:alignment horizontal="right" vertical="center"/>
    </x:xf>
    <x:xf numFmtId="0" fontId="34" fillId="21" borderId="2" xfId="0" applyAlignment="1">
      <x:alignment horizontal="left" vertical="center" wrapText="1"/>
    </x:xf>
    <x:xf numFmtId="167" fontId="34" fillId="21" borderId="2" xfId="0" applyAlignment="1">
      <x:alignment horizontal="left" vertical="center" wrapText="1"/>
    </x:xf>
    <x:xf numFmtId="167" fontId="36" fillId="21" borderId="2" xfId="0" applyAlignment="1">
      <x:alignment horizontal="right" vertical="center"/>
    </x:xf>
    <x:xf numFmtId="166" fontId="29" fillId="21" borderId="0" xfId="0" applyAlignment="1">
      <x:alignment horizontal="general" vertical="bottom"/>
    </x:xf>
    <x:xf numFmtId="165" fontId="29" fillId="21" borderId="0" xfId="0" applyAlignment="1">
      <x:alignment horizontal="general" vertical="bottom"/>
    </x:xf>
    <x:xf numFmtId="164" fontId="34" fillId="21" borderId="2" xfId="0" applyAlignment="1">
      <x:alignment horizontal="right" vertical="center"/>
    </x:xf>
    <x:xf numFmtId="164" fontId="29" fillId="21" borderId="0" xfId="0" applyAlignment="1">
      <x:alignment horizontal="general" vertical="bottom"/>
    </x:xf>
    <x:xf numFmtId="0" fontId="37" fillId="21" borderId="2" xfId="0" applyAlignment="1">
      <x:alignment horizontal="center" vertical="center" wrapText="1"/>
    </x:xf>
    <x:xf numFmtId="168" fontId="37" fillId="21" borderId="2" xfId="0" applyAlignment="1">
      <x:alignment horizontal="center" vertical="center" wrapText="1"/>
    </x:xf>
    <x:xf numFmtId="170" fontId="37" fillId="21" borderId="2" xfId="0" applyAlignment="1">
      <x:alignment horizontal="center" vertical="center" wrapText="1"/>
    </x:xf>
    <x:xf numFmtId="169" fontId="37" fillId="21" borderId="2" xfId="0" applyAlignment="1">
      <x:alignment horizontal="center" vertical="center" wrapText="1"/>
    </x:xf>
    <x:xf numFmtId="170" fontId="29" fillId="21" borderId="0" xfId="0" applyAlignment="1">
      <x:alignment horizontal="general" vertical="bottom"/>
    </x:xf>
    <x:xf numFmtId="168" fontId="29" fillId="21" borderId="0" xfId="0" applyAlignment="1">
      <x:alignment horizontal="general" vertical="bottom"/>
    </x:xf>
    <x:xf numFmtId="171" fontId="34" fillId="21" borderId="2" xfId="0" applyAlignment="1">
      <x:alignment horizontal="left" vertical="center"/>
    </x:xf>
    <x:xf numFmtId="166" fontId="34" fillId="21" borderId="2" xfId="0" applyAlignment="1">
      <x:alignment horizontal="left" vertical="center"/>
    </x:xf>
    <x:xf numFmtId="172" fontId="34" fillId="21" borderId="2" xfId="0" applyAlignment="1">
      <x:alignment horizontal="left" vertical="center"/>
    </x:xf>
    <x:xf numFmtId="3" fontId="34" fillId="21" borderId="2" xfId="0" applyAlignment="1">
      <x:alignment horizontal="left" vertical="center"/>
    </x:xf>
    <x:xf numFmtId="0" fontId="0" fillId="21" borderId="0" xfId="0"/>
    <x:xf numFmtId="0" fontId="38" fillId="21" borderId="2" xfId="0" applyAlignment="1">
      <x:alignment horizontal="left" vertical="center" wrapText="1"/>
    </x:xf>
    <x:xf numFmtId="0" fontId="39" fillId="21" borderId="2" xfId="0" applyAlignment="1">
      <x:alignment horizontal="left" vertical="center"/>
    </x:xf>
    <x:xf numFmtId="0" fontId="40" fillId="21" borderId="0" xfId="0" applyAlignment="1">
      <x:alignment horizontal="general" vertical="bottom"/>
    </x:xf>
    <x:xf numFmtId="0" fontId="41" fillId="21" borderId="2" xfId="0" applyAlignment="1">
      <x:alignment horizontal="left" vertical="center" wrapText="1"/>
    </x:xf>
    <x:xf numFmtId="0" fontId="42" fillId="21" borderId="2" xfId="0" applyAlignment="1">
      <x:alignment horizontal="left" vertical="center"/>
    </x:xf>
    <x:xf numFmtId="167" fontId="42" fillId="21" borderId="2" xfId="0" applyAlignment="1">
      <x:alignment horizontal="left" vertical="center"/>
    </x:xf>
    <x:xf numFmtId="0" fontId="40" fillId="21" borderId="2" xfId="0" applyAlignment="1">
      <x:alignment horizontal="left" vertical="center" wrapText="1"/>
    </x:xf>
    <x:xf numFmtId="0" fontId="40" fillId="21" borderId="2" xfId="0" applyAlignment="1">
      <x:alignment horizontal="right" vertical="center"/>
    </x:xf>
    <x:xf numFmtId="167" fontId="40" fillId="21" borderId="2" xfId="0" applyAlignment="1">
      <x:alignment horizontal="left" vertical="center" wrapText="1"/>
    </x:xf>
    <x:xf numFmtId="167" fontId="42" fillId="21" borderId="2" xfId="0" applyAlignment="1">
      <x:alignment horizontal="right" vertical="center"/>
    </x:xf>
    <x:xf numFmtId="166" fontId="40" fillId="21" borderId="0" xfId="0" applyAlignment="1">
      <x:alignment horizontal="general" vertical="bottom"/>
    </x:xf>
    <x:xf numFmtId="165" fontId="40" fillId="21" borderId="0" xfId="0" applyAlignment="1">
      <x:alignment horizontal="general" vertical="bottom"/>
    </x:xf>
    <x:xf numFmtId="164" fontId="40" fillId="21" borderId="2" xfId="0" applyAlignment="1">
      <x:alignment horizontal="right" vertical="center"/>
    </x:xf>
    <x:xf numFmtId="164" fontId="40" fillId="21" borderId="0" xfId="0" applyAlignment="1">
      <x:alignment horizontal="general" vertical="bottom"/>
    </x:xf>
    <x:xf numFmtId="0" fontId="43" fillId="21" borderId="2" xfId="0" applyAlignment="1">
      <x:alignment horizontal="center" vertical="center" wrapText="1"/>
    </x:xf>
    <x:xf numFmtId="168" fontId="43" fillId="21" borderId="2" xfId="0" applyAlignment="1">
      <x:alignment horizontal="center" vertical="center" wrapText="1"/>
    </x:xf>
    <x:xf numFmtId="170" fontId="43" fillId="21" borderId="2" xfId="0" applyAlignment="1">
      <x:alignment horizontal="center" vertical="center" wrapText="1"/>
    </x:xf>
    <x:xf numFmtId="169" fontId="43" fillId="21" borderId="2" xfId="0" applyAlignment="1">
      <x:alignment horizontal="center" vertical="center" wrapText="1"/>
    </x:xf>
    <x:xf numFmtId="170" fontId="40" fillId="21" borderId="0" xfId="0" applyAlignment="1">
      <x:alignment horizontal="general" vertical="bottom"/>
    </x:xf>
    <x:xf numFmtId="168" fontId="40" fillId="21" borderId="0" xfId="0" applyAlignment="1">
      <x:alignment horizontal="general" vertical="bottom"/>
    </x:xf>
    <x:xf numFmtId="171" fontId="40" fillId="21" borderId="2" xfId="0" applyAlignment="1">
      <x:alignment horizontal="left" vertical="center"/>
    </x:xf>
    <x:xf numFmtId="166" fontId="40" fillId="21" borderId="2" xfId="0" applyAlignment="1">
      <x:alignment horizontal="left" vertical="center"/>
    </x:xf>
    <x:xf numFmtId="172" fontId="40" fillId="21" borderId="2" xfId="0" applyAlignment="1">
      <x:alignment horizontal="left" vertical="center"/>
    </x:xf>
    <x:xf numFmtId="3" fontId="40" fillId="21" borderId="2" xfId="0" applyAlignment="1">
      <x:alignment horizontal="left" vertical="center"/>
    </x:xf>
    <x:xf numFmtId="0" fontId="44" fillId="21" borderId="0" xfId="0"/>
    <x:xf numFmtId="0" fontId="39" fillId="22" borderId="2" xfId="0" applyAlignment="1">
      <x:alignment horizontal="left" vertical="center"/>
    </x:xf>
    <x:xf numFmtId="0" fontId="40" fillId="22" borderId="0" xfId="0" applyAlignment="1">
      <x:alignment horizontal="general" vertical="bottom"/>
    </x:xf>
    <x:xf numFmtId="0" fontId="30" fillId="22" borderId="2" xfId="0" applyAlignment="1">
      <x:alignment horizontal="left" vertical="center"/>
    </x:xf>
    <x:xf numFmtId="0" fontId="30" fillId="22" borderId="0" xfId="0" applyAlignment="1">
      <x:alignment horizontal="general" vertical="bottom"/>
    </x:xf>
    <x:xf numFmtId="0" fontId="30" fillId="22" borderId="0" xfId="0" applyAlignment="1">
      <x:alignment horizontal="general" vertical="center"/>
    </x:xf>
    <x:xf numFmtId="0" fontId="41" fillId="23" borderId="2" xfId="0" applyAlignment="1">
      <x:alignment horizontal="left" vertical="center" wrapText="1"/>
    </x:xf>
    <x:xf numFmtId="0" fontId="40" fillId="23" borderId="0" xfId="0" applyAlignment="1">
      <x:alignment horizontal="general" vertical="bottom"/>
    </x:xf>
    <x:xf numFmtId="0" fontId="35" fillId="23" borderId="2" xfId="0" applyAlignment="1">
      <x:alignment horizontal="left" vertical="center" wrapText="1"/>
    </x:xf>
    <x:xf numFmtId="0" fontId="35" fillId="23" borderId="0" xfId="0" applyAlignment="1">
      <x:alignment horizontal="general" vertical="bottom"/>
    </x:xf>
    <x:xf numFmtId="0" fontId="35" fillId="23" borderId="0" xfId="0" applyAlignment="1">
      <x:alignment horizontal="general" vertical="center"/>
    </x:xf>
    <x:xf numFmtId="0" fontId="40" fillId="24" borderId="0" xfId="0" applyAlignment="1">
      <x:alignment horizontal="general" vertical="bottom"/>
    </x:xf>
    <x:xf numFmtId="0" fontId="32" fillId="24" borderId="0" xfId="0" applyAlignment="1">
      <x:alignment horizontal="general" vertical="bottom"/>
    </x:xf>
    <x:xf numFmtId="0" fontId="42" fillId="25" borderId="2" xfId="0" applyAlignment="1">
      <x:alignment horizontal="left" vertical="center"/>
    </x:xf>
    <x:xf numFmtId="0" fontId="33" fillId="25" borderId="2" xfId="0" applyAlignment="1">
      <x:alignment horizontal="left" vertical="center"/>
    </x:xf>
    <x:xf numFmtId="0" fontId="45" fillId="21" borderId="2" xfId="0" applyAlignment="1">
      <x:alignment horizontal="left" vertical="center"/>
    </x:xf>
    <x:xf numFmtId="167" fontId="45" fillId="21" borderId="2" xfId="0" applyAlignment="1">
      <x:alignment horizontal="left" vertical="center"/>
    </x:xf>
    <x:xf numFmtId="167" fontId="35" fillId="21" borderId="2" xfId="0" applyAlignment="1">
      <x:alignment horizontal="left" vertical="center" wrapText="1"/>
    </x:xf>
    <x:xf numFmtId="0" fontId="45" fillId="21" borderId="2" xfId="0" applyAlignment="1">
      <x:alignment horizontal="left" vertical="center" wrapText="1"/>
    </x:xf>
    <x:xf numFmtId="167" fontId="45" fillId="21" borderId="2" xfId="0" applyAlignment="1">
      <x:alignment horizontal="left" vertical="center" wrapText="1"/>
    </x:xf>
    <x:xf numFmtId="164" fontId="40" fillId="24" borderId="0" xfId="0" applyAlignment="1">
      <x:alignment horizontal="general" vertical="bottom"/>
    </x:xf>
    <x:xf numFmtId="164" fontId="32" fillId="24" borderId="0" xfId="0" applyAlignment="1">
      <x:alignment horizontal="general" vertical="bottom"/>
    </x:xf>
    <x:xf numFmtId="0" fontId="43" fillId="25" borderId="2" xfId="0" applyAlignment="1">
      <x:alignment horizontal="center" vertical="center" wrapText="1"/>
    </x:xf>
    <x:xf numFmtId="168" fontId="43" fillId="25" borderId="2" xfId="0" applyAlignment="1">
      <x:alignment horizontal="center" vertical="center" wrapText="1"/>
    </x:xf>
    <x:xf numFmtId="170" fontId="43" fillId="25" borderId="2" xfId="0" applyAlignment="1">
      <x:alignment horizontal="center" vertical="center" wrapText="1"/>
    </x:xf>
    <x:xf numFmtId="0" fontId="46" fillId="25" borderId="2" xfId="0" applyAlignment="1">
      <x:alignment horizontal="center" vertical="center" wrapText="1"/>
    </x:xf>
    <x:xf numFmtId="168" fontId="46" fillId="25" borderId="2" xfId="0" applyAlignment="1">
      <x:alignment horizontal="center" vertical="center" wrapText="1"/>
    </x:xf>
    <x:xf numFmtId="170" fontId="46" fillId="25" borderId="2" xfId="0" applyAlignment="1">
      <x:alignment horizontal="center" vertical="center" wrapText="1"/>
    </x:xf>
    <x:xf numFmtId="173" fontId="40" fillId="21" borderId="2" xfId="0" applyAlignment="1">
      <x:alignment horizontal="left" vertical="center"/>
    </x:xf>
    <x:xf numFmtId="168" fontId="40" fillId="21" borderId="2" xfId="0" applyAlignment="1">
      <x:alignment horizontal="left" vertical="center"/>
    </x:xf>
    <x:xf numFmtId="169" fontId="40" fillId="21" borderId="2" xfId="0" applyAlignment="1">
      <x:alignment horizontal="left" vertical="center"/>
    </x:xf>
    <x:xf numFmtId="168" fontId="47" fillId="21" borderId="2" xfId="0" applyAlignment="1">
      <x:alignment horizontal="left" vertical="center"/>
    </x:xf>
    <x:xf numFmtId="169" fontId="47" fillId="21" borderId="2" xfId="0" applyAlignment="1">
      <x:alignment horizontal="left" vertical="center"/>
    </x:xf>
    <x:xf numFmtId="173" fontId="40" fillId="26" borderId="2" xfId="0" applyAlignment="1">
      <x:alignment horizontal="left" vertical="center"/>
    </x:xf>
    <x:xf numFmtId="168" fontId="47" fillId="26" borderId="2" xfId="0" applyAlignment="1">
      <x:alignment horizontal="left" vertical="center"/>
    </x:xf>
    <x:xf numFmtId="169" fontId="47" fillId="26" borderId="2" xfId="0" applyAlignment="1">
      <x:alignment horizontal="left" vertical="center"/>
    </x:xf>
    <x:xf numFmtId="173" fontId="40" fillId="26" borderId="3" xfId="0" applyAlignment="1">
      <x:alignment horizontal="left" vertical="center"/>
    </x:xf>
    <x:xf numFmtId="168" fontId="47" fillId="26" borderId="3" xfId="0" applyAlignment="1">
      <x:alignment horizontal="left" vertical="center"/>
    </x:xf>
    <x:xf numFmtId="169" fontId="47" fillId="26" borderId="3" xfId="0" applyAlignment="1">
      <x:alignment horizontal="left" vertical="center"/>
    </x:xf>
    <x:xf numFmtId="0" fontId="41" fillId="27" borderId="2" xfId="0" applyAlignment="1">
      <x:alignment horizontal="left" vertical="center" wrapText="1"/>
    </x:xf>
    <x:xf numFmtId="0" fontId="44" fillId="27" borderId="0" xfId="0"/>
    <x:xf numFmtId="0" fontId="35" fillId="27" borderId="2" xfId="0" applyAlignment="1">
      <x:alignment horizontal="left" vertical="center" wrapText="1"/>
    </x:xf>
    <x:xf numFmtId="0" fontId="21" fillId="27" borderId="0" xfId="0"/>
    <x:xf numFmtId="0" fontId="21" fillId="27" borderId="0" xfId="0" applyAlignment="1">
      <x:alignment wrapText="1"/>
    </x:xf>
    <x:xf numFmtId="0" fontId="21" fillId="27" borderId="0" xfId="0" applyAlignment="1">
      <x:alignment vertical="center" wrapText="1"/>
    </x:xf>
    <x:xf numFmtId="168" fontId="0" fillId="0" borderId="0" xfId="0"/>
    <x:xf numFmtId="169" fontId="43" fillId="25" borderId="2" xfId="0" applyAlignment="1">
      <x:alignment horizontal="center" vertical="center" wrapText="1"/>
    </x:xf>
    <x:xf numFmtId="169" fontId="48" fillId="25" borderId="2" xfId="0" applyAlignment="1">
      <x:alignment horizontal="center" vertical="center" wrapText="1"/>
    </x:xf>
    <x:xf numFmtId="166" fontId="49" fillId="21" borderId="2" xfId="0" applyAlignment="1">
      <x:alignment horizontal="left" vertical="center"/>
    </x:xf>
    <x:xf numFmtId="0" fontId="40" fillId="24" borderId="2" xfId="0" applyAlignment="1">
      <x:alignment horizontal="left" vertical="center" wrapText="1"/>
    </x:xf>
    <x:xf numFmtId="164" fontId="40" fillId="24" borderId="2" xfId="0" applyAlignment="1">
      <x:alignment horizontal="right" vertical="center"/>
    </x:xf>
    <x:xf numFmtId="166" fontId="40" fillId="24" borderId="0" xfId="0" applyAlignment="1">
      <x:alignment horizontal="general" vertical="bottom"/>
    </x:xf>
    <x:xf numFmtId="165" fontId="40" fillId="24" borderId="0" xfId="0" applyAlignment="1">
      <x:alignment horizontal="general" vertical="bottom"/>
    </x:xf>
    <x:xf numFmtId="0" fontId="32" fillId="24" borderId="2" xfId="0" applyAlignment="1">
      <x:alignment horizontal="left" vertical="center" wrapText="1"/>
    </x:xf>
    <x:xf numFmtId="164" fontId="32" fillId="24" borderId="2" xfId="0" applyAlignment="1">
      <x:alignment horizontal="right" vertical="center"/>
    </x:xf>
    <x:xf numFmtId="166" fontId="32" fillId="24" borderId="0" xfId="0" applyAlignment="1">
      <x:alignment horizontal="general" vertical="bottom"/>
    </x:xf>
    <x:xf numFmtId="165" fontId="32" fillId="24" borderId="0" xfId="0" applyAlignment="1">
      <x:alignment horizontal="general" vertical="bottom"/>
    </x:xf>
    <x:xf numFmtId="0" fontId="51" fillId="28" borderId="13" xfId="0" applyAlignment="1">
      <x:alignment horizontal="left" vertical="center"/>
    </x:xf>
    <x:xf numFmtId="0" fontId="50" fillId="0" borderId="1" xfId="0" applyAlignment="1">
      <x:alignment horizontal="general" vertical="bottom"/>
    </x:xf>
    <x:xf numFmtId="0" fontId="52" fillId="29" borderId="13" xfId="0" applyAlignment="1">
      <x:alignment horizontal="left" vertical="center" wrapText="1"/>
    </x:xf>
    <x:xf numFmtId="0" fontId="53" fillId="30" borderId="13" xfId="0" applyAlignment="1">
      <x:alignment horizontal="left" vertical="center"/>
    </x:xf>
    <x:xf numFmtId="0" fontId="54" fillId="31" borderId="13" xfId="0" applyAlignment="1">
      <x:alignment horizontal="left" vertical="center"/>
    </x:xf>
    <x:xf numFmtId="0" fontId="55" fillId="0" borderId="13" xfId="0" applyAlignment="1">
      <x:alignment horizontal="left" vertical="center" wrapText="1"/>
    </x:xf>
    <x:xf numFmtId="167" fontId="50" fillId="0" borderId="1" xfId="0" applyAlignment="1">
      <x:alignment horizontal="general" vertical="bottom"/>
    </x:xf>
    <x:xf numFmtId="166" fontId="50" fillId="0" borderId="1" xfId="0" applyAlignment="1">
      <x:alignment horizontal="general" vertical="bottom"/>
    </x:xf>
    <x:xf numFmtId="165" fontId="50" fillId="0" borderId="1" xfId="0" applyAlignment="1">
      <x:alignment horizontal="general" vertical="bottom"/>
    </x:xf>
    <x:xf numFmtId="164" fontId="50" fillId="0" borderId="1" xfId="0" applyAlignment="1">
      <x:alignment horizontal="general" vertical="bottom"/>
    </x:xf>
    <x:xf numFmtId="0" fontId="54" fillId="31" borderId="13" xfId="0" applyAlignment="1">
      <x:alignment horizontal="center" vertical="center" wrapText="1"/>
    </x:xf>
    <x:xf numFmtId="168" fontId="54" fillId="31" borderId="13" xfId="0" applyAlignment="1">
      <x:alignment horizontal="center" vertical="center" wrapText="1"/>
    </x:xf>
    <x:xf numFmtId="170" fontId="54" fillId="31" borderId="13" xfId="0" applyAlignment="1">
      <x:alignment horizontal="center" vertical="center" wrapText="1"/>
    </x:xf>
    <x:xf numFmtId="169" fontId="54" fillId="31" borderId="13" xfId="0" applyAlignment="1">
      <x:alignment horizontal="center" vertical="center" wrapText="1"/>
    </x:xf>
    <x:xf numFmtId="170" fontId="50" fillId="0" borderId="1" xfId="0" applyAlignment="1">
      <x:alignment horizontal="general" vertical="bottom"/>
    </x:xf>
    <x:xf numFmtId="168" fontId="50" fillId="0" borderId="1" xfId="0" applyAlignment="1">
      <x:alignment horizontal="general" vertical="bottom"/>
    </x:xf>
    <x:xf numFmtId="171" fontId="55" fillId="32" borderId="13" xfId="0" applyAlignment="1">
      <x:alignment horizontal="left" vertical="center"/>
    </x:xf>
    <x:xf numFmtId="3" fontId="55" fillId="32" borderId="13" xfId="0" applyAlignment="1">
      <x:alignment horizontal="left" vertical="center"/>
    </x:xf>
    <x:xf numFmtId="164" fontId="55" fillId="32" borderId="13" xfId="0" applyAlignment="1">
      <x:alignment horizontal="left" vertical="center"/>
    </x:xf>
    <x:xf numFmtId="166" fontId="55" fillId="32" borderId="13" xfId="0" applyAlignment="1">
      <x:alignment horizontal="left" vertical="center"/>
    </x:xf>
    <x:xf numFmtId="170" fontId="56" fillId="29" borderId="13" xfId="0" applyAlignment="1">
      <x:alignment horizontal="left" vertical="center" wrapText="1"/>
    </x:xf>
    <x:xf numFmtId="164" fontId="56" fillId="29" borderId="13" xfId="0" applyAlignment="1">
      <x:alignment horizontal="left" vertical="center" wrapText="1"/>
    </x:xf>
    <x:xf numFmtId="171" fontId="55" fillId="0" borderId="13" xfId="0" applyAlignment="1">
      <x:alignment horizontal="left" vertical="center"/>
    </x:xf>
    <x:xf numFmtId="3" fontId="55" fillId="0" borderId="13" xfId="0" applyAlignment="1">
      <x:alignment horizontal="left" vertical="center"/>
    </x:xf>
    <x:xf numFmtId="164" fontId="55" fillId="0" borderId="13" xfId="0" applyAlignment="1">
      <x:alignment horizontal="left" vertical="center"/>
    </x:xf>
    <x:xf numFmtId="166" fontId="55" fillId="0" borderId="13" xfId="0" applyAlignment="1">
      <x:alignment horizontal="left" vertical="center"/>
    </x:xf>
    <x:xf numFmtId="168" fontId="56" fillId="29" borderId="13" xfId="0" applyAlignment="1">
      <x:alignment horizontal="left" vertical="center"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10" fontId="0" fillId="0" borderId="0" xfId="0" applyNumberFormat="1" applyFont="1" applyFill="1" applyBorder="1"/>
    <x:xf numFmtId="2" fontId="0" fillId="0" borderId="0" xfId="0" applyNumberFormat="1" applyFont="1" applyFill="1" applyBorder="1"/>
    <x:xf numFmtId="0" fontId="0" fillId="0" borderId="0" xfId="0" applyNumberFormat="1" applyFont="1" applyFill="1" applyBorder="1" applyAlignment="1">
      <x:alignment wrapText="1"/>
    </x:xf>
    <x:xf numFmtId="0" fontId="0" fillId="5" borderId="0" xfId="0" applyNumberFormat="1" applyFont="1" applyFill="1" applyBorder="1"/>
    <x:xf numFmtId="0" fontId="0" fillId="5" borderId="0" xfId="0" applyNumberFormat="1" applyFont="1" applyFill="1" applyBorder="1" applyAlignment="1">
      <x:alignment wrapText="1"/>
    </x:xf>
    <x:xf numFmtId="164" fontId="0" fillId="0" borderId="0" xfId="0" applyNumberFormat="1" applyFont="1" applyFill="1" applyBorder="1"/>
    <x:xf numFmtId="0" fontId="6" fillId="0" borderId="0" xfId="0" applyNumberFormat="1" applyFont="1" applyFill="1" applyBorder="1"/>
    <x:xf numFmtId="0" fontId="0" fillId="3" borderId="0" xfId="0" applyNumberFormat="1" applyFont="1" applyFill="1" applyBorder="1" applyAlignment="1">
      <x:alignment wrapText="1"/>
    </x:xf>
    <x:xf numFmtId="0" fontId="7" fillId="4" borderId="0" xfId="0" applyNumberFormat="1" applyFont="1" applyFill="1" applyBorder="1"/>
    <x:xf numFmtId="0" fontId="8" fillId="3" borderId="0" xfId="0" applyNumberFormat="1" applyFont="1" applyFill="1" applyBorder="1"/>
    <x:xf numFmtId="10" fontId="8" fillId="3" borderId="0" xfId="0" applyNumberFormat="1" applyFont="1" applyFill="1" applyBorder="1"/>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0" fontId="9" fillId="0" borderId="0" xfId="0" applyNumberFormat="1" applyFont="1" applyFill="1" applyBorder="1"/>
    <x:xf numFmtId="165" fontId="0" fillId="0" borderId="0" xfId="0" applyNumberFormat="1" applyFont="1" applyFill="1" applyBorder="1"/>
    <x:xf numFmtId="0" fontId="7" fillId="6" borderId="0" xfId="0" applyNumberFormat="1" applyFont="1" applyFill="1" applyBorder="1" applyAlignment="1">
      <x:alignment vertical="center"/>
    </x:xf>
    <x:xf numFmtId="0" fontId="0" fillId="7" borderId="0" xfId="0" applyNumberFormat="1" applyFont="1" applyFill="1" applyBorder="1"/>
    <x:xf numFmtId="0" fontId="10" fillId="7" borderId="0" xfId="0" applyNumberFormat="1" applyFont="1" applyFill="1" applyBorder="1"/>
    <x:xf numFmtId="165" fontId="11" fillId="0" borderId="0" xfId="0" applyNumberFormat="1" applyFont="1" applyFill="1" applyBorder="1"/>
    <x:xf numFmtId="0" fontId="0" fillId="8"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wrapText="1"/>
    </x:xf>
    <x:xf numFmtId="165" fontId="8" fillId="3" borderId="0" xfId="0" applyNumberFormat="1" applyFont="1" applyFill="1" applyBorder="1"/>
    <x:xf numFmtId="166" fontId="9" fillId="0" borderId="0" xfId="0" applyNumberFormat="1" applyFont="1" applyFill="1" applyBorder="1"/>
    <x:xf numFmtId="0" fontId="0" fillId="8" borderId="0" xfId="0" applyNumberFormat="1" applyFont="1" applyFill="1" applyBorder="1" applyAlignment="1">
      <x:alignment wrapText="1"/>
    </x:xf>
    <x:xf numFmtId="0" fontId="0" fillId="9" borderId="0" xfId="0" applyNumberFormat="1" applyFont="1" applyFill="1" applyBorder="1"/>
    <x:xf numFmtId="0" fontId="9" fillId="9" borderId="0" xfId="0" applyNumberFormat="1" applyFont="1" applyFill="1" applyBorder="1"/>
    <x:xf numFmtId="0" fontId="1" fillId="10" borderId="0" xfId="0" applyNumberFormat="1" applyFont="1" applyFill="1" applyBorder="1" applyAlignment="1">
      <x:alignment vertical="center"/>
    </x:xf>
    <x:xf numFmtId="0" fontId="0" fillId="10" borderId="0" xfId="0" applyNumberFormat="1" applyFont="1" applyFill="1" applyBorder="1"/>
    <x:xf numFmtId="0" fontId="2" fillId="10" borderId="0" xfId="0" applyNumberFormat="1" applyFont="1" applyFill="1" applyBorder="1" applyAlignment="1">
      <x:alignment vertical="center" wrapText="1"/>
    </x:xf>
    <x:xf numFmtId="0" fontId="5" fillId="10" borderId="0" xfId="0" applyNumberFormat="1" applyFont="1" applyFill="1" applyBorder="1" applyAlignment="1">
      <x:alignment vertical="center" wrapText="1"/>
    </x:xf>
    <x:xf numFmtId="0" fontId="7" fillId="10" borderId="0" xfId="0" applyNumberFormat="1" applyFont="1" applyFill="1" applyBorder="1" applyAlignment="1">
      <x:alignment vertical="center" wrapText="1"/>
    </x:xf>
    <x:xf numFmtId="0" fontId="7" fillId="10" borderId="0" xfId="0" applyNumberFormat="1" applyFont="1" applyFill="1" applyBorder="1" applyAlignment="1">
      <x:alignment vertical="center"/>
    </x:xf>
    <x:xf numFmtId="0" fontId="6" fillId="10" borderId="0" xfId="0" applyNumberFormat="1" applyFont="1" applyFill="1" applyBorder="1"/>
    <x:xf numFmtId="164" fontId="0" fillId="10" borderId="0" xfId="0" applyNumberFormat="1" applyFont="1" applyFill="1" applyBorder="1"/>
    <x:xf numFmtId="166" fontId="9" fillId="10" borderId="0" xfId="0" applyNumberFormat="1" applyFont="1" applyFill="1" applyBorder="1"/>
    <x:xf numFmtId="165" fontId="0" fillId="10" borderId="0" xfId="0" applyNumberFormat="1" applyFont="1" applyFill="1" applyBorder="1"/>
    <x:xf numFmtId="0" fontId="10" fillId="10" borderId="0" xfId="0" applyNumberFormat="1" applyFont="1" applyFill="1" applyBorder="1"/>
    <x:xf numFmtId="165" fontId="11" fillId="10" borderId="0" xfId="0" applyNumberFormat="1" applyFont="1" applyFill="1" applyBorder="1"/>
    <x:xf numFmtId="0" fontId="12" fillId="10" borderId="0" xfId="0" applyNumberFormat="1" applyFont="1" applyFill="1" applyBorder="1" applyAlignment="1">
      <x:alignment wrapText="1"/>
    </x:xf>
    <x:xf numFmtId="0" fontId="7" fillId="10" borderId="0" xfId="0" applyNumberFormat="1" applyFont="1" applyFill="1" applyBorder="1"/>
    <x:xf numFmtId="0" fontId="0" fillId="10" borderId="0" xfId="0" applyNumberFormat="1" applyFont="1" applyFill="1" applyBorder="1" applyAlignment="1">
      <x:alignment wrapText="1"/>
    </x:xf>
    <x:xf numFmtId="0" fontId="8" fillId="10" borderId="0" xfId="0" applyNumberFormat="1" applyFont="1" applyFill="1" applyBorder="1"/>
    <x:xf numFmtId="165" fontId="8" fillId="10" borderId="0" xfId="0" applyNumberFormat="1" applyFont="1" applyFill="1" applyBorder="1"/>
    <x:xf numFmtId="0" fontId="13" fillId="10" borderId="0" xfId="0" applyNumberFormat="1" applyFont="1" applyFill="1" applyBorder="1" applyAlignment="1">
      <x:alignment vertical="center"/>
    </x:xf>
    <x:xf numFmtId="0" fontId="14" fillId="10" borderId="0" xfId="0" applyNumberFormat="1" applyFont="1" applyFill="1" applyBorder="1"/>
    <x:xf numFmtId="0" fontId="15" fillId="10" borderId="0" xfId="0" applyNumberFormat="1" applyFont="1" applyFill="1" applyBorder="1" applyAlignment="1">
      <x:alignment vertical="center" wrapText="1"/>
    </x:xf>
    <x:xf numFmtId="0" fontId="16" fillId="10" borderId="0" xfId="0" applyNumberFormat="1" applyFont="1" applyFill="1" applyBorder="1" applyAlignment="1">
      <x:alignment vertical="center" wrapText="1"/>
    </x:xf>
    <x:xf numFmtId="0" fontId="17" fillId="10" borderId="0" xfId="0" applyNumberFormat="1" applyFont="1" applyFill="1" applyBorder="1" applyAlignment="1">
      <x:alignment vertical="center" wrapText="1"/>
    </x:xf>
    <x:xf numFmtId="0" fontId="17" fillId="10" borderId="0" xfId="0" applyNumberFormat="1" applyFont="1" applyFill="1" applyBorder="1" applyAlignment="1">
      <x:alignment vertical="center"/>
    </x:xf>
    <x:xf numFmtId="164" fontId="14" fillId="10" borderId="0" xfId="0" applyNumberFormat="1" applyFont="1" applyFill="1" applyBorder="1"/>
    <x:xf numFmtId="166" fontId="14" fillId="10" borderId="0" xfId="0" applyNumberFormat="1" applyFont="1" applyFill="1" applyBorder="1"/>
    <x:xf numFmtId="165" fontId="14" fillId="10" borderId="0" xfId="0" applyNumberFormat="1" applyFont="1" applyFill="1" applyBorder="1"/>
    <x:xf numFmtId="0" fontId="17" fillId="10" borderId="0" xfId="0" applyNumberFormat="1" applyFont="1" applyFill="1" applyBorder="1"/>
    <x:xf numFmtId="0" fontId="14" fillId="10" borderId="0" xfId="0" applyNumberFormat="1" applyFont="1" applyFill="1" applyBorder="1" applyAlignment="1">
      <x:alignment wrapText="1"/>
    </x:xf>
    <x:xf numFmtId="165" fontId="17" fillId="10" borderId="0" xfId="0" applyNumberFormat="1" applyFont="1" applyFill="1" applyBorder="1"/>
    <x:xf numFmtId="0" fontId="13" fillId="11" borderId="0" xfId="0" applyNumberFormat="1" applyFont="1" applyFill="1" applyBorder="1" applyAlignment="1">
      <x:alignment vertical="center"/>
    </x:xf>
    <x:xf numFmtId="0" fontId="14" fillId="11" borderId="0" xfId="0" applyNumberFormat="1" applyFont="1" applyFill="1" applyBorder="1"/>
    <x:xf numFmtId="0" fontId="1" fillId="11" borderId="0" xfId="0" applyNumberFormat="1" applyFont="1" applyFill="1" applyBorder="1" applyAlignment="1">
      <x:alignment vertical="center"/>
    </x:xf>
    <x:xf numFmtId="0" fontId="1" fillId="11" borderId="0" xfId="0" applyNumberFormat="1" applyFont="1" applyFill="1" applyBorder="1"/>
    <x:xf numFmtId="0" fontId="15" fillId="12" borderId="0" xfId="0" applyNumberFormat="1" applyFont="1" applyFill="1" applyBorder="1" applyAlignment="1">
      <x:alignment vertical="center" wrapText="1"/>
    </x:xf>
    <x:xf numFmtId="0" fontId="14" fillId="12" borderId="0" xfId="0" applyNumberFormat="1" applyFont="1" applyFill="1" applyBorder="1"/>
    <x:xf numFmtId="0" fontId="18" fillId="12" borderId="0" xfId="0" applyNumberFormat="1" applyFont="1" applyFill="1" applyBorder="1" applyAlignment="1">
      <x:alignment vertical="center" wrapText="1"/>
    </x:xf>
    <x:xf numFmtId="0" fontId="18" fillId="12" borderId="0" xfId="0" applyNumberFormat="1" applyFont="1" applyFill="1" applyBorder="1"/>
    <x:xf numFmtId="0" fontId="18" fillId="12" borderId="0" xfId="0" applyNumberFormat="1" applyFont="1" applyFill="1" applyBorder="1" applyAlignment="1">
      <x:alignment wrapText="1"/>
    </x:xf>
    <x:xf numFmtId="0" fontId="14" fillId="13" borderId="0" xfId="0" applyNumberFormat="1" applyFont="1" applyFill="1" applyBorder="1"/>
    <x:xf numFmtId="0" fontId="7" fillId="13" borderId="0" xfId="0" applyNumberFormat="1" applyFont="1" applyFill="1" applyBorder="1"/>
    <x:xf numFmtId="0" fontId="14" fillId="14" borderId="0" xfId="0" applyNumberFormat="1" applyFont="1" applyFill="1" applyBorder="1"/>
    <x:xf numFmtId="0" fontId="19" fillId="14" borderId="0" xfId="0" applyNumberFormat="1" applyFont="1" applyFill="1" applyBorder="1"/>
    <x:xf numFmtId="0" fontId="20" fillId="10" borderId="0" xfId="0" applyNumberFormat="1" applyFont="1" applyFill="1" applyBorder="1" applyAlignment="1">
      <x:alignment vertical="center" wrapText="1"/>
    </x:xf>
    <x:xf numFmtId="0" fontId="21" fillId="10" borderId="0" xfId="0" applyNumberFormat="1" applyFont="1" applyFill="1" applyBorder="1"/>
    <x:xf numFmtId="0" fontId="22" fillId="10" borderId="0" xfId="0" applyNumberFormat="1" applyFont="1" applyFill="1" applyBorder="1" applyAlignment="1">
      <x:alignment vertical="center" wrapText="1"/>
    </x:xf>
    <x:xf numFmtId="0" fontId="23" fillId="10" borderId="0" xfId="0" applyNumberFormat="1" applyFont="1" applyFill="1" applyBorder="1"/>
    <x:xf numFmtId="164" fontId="14" fillId="13" borderId="0" xfId="0" applyNumberFormat="1" applyFont="1" applyFill="1" applyBorder="1"/>
    <x:xf numFmtId="166" fontId="14" fillId="13" borderId="0" xfId="0" applyNumberFormat="1" applyFont="1" applyFill="1" applyBorder="1"/>
    <x:xf numFmtId="165" fontId="14" fillId="13" borderId="0" xfId="0" applyNumberFormat="1" applyFont="1" applyFill="1" applyBorder="1"/>
    <x:xf numFmtId="0" fontId="5" fillId="13" borderId="0" xfId="0" applyNumberFormat="1" applyFont="1" applyFill="1" applyBorder="1"/>
    <x:xf numFmtId="164" fontId="5" fillId="13" borderId="0" xfId="0" applyNumberFormat="1" applyFont="1" applyFill="1" applyBorder="1"/>
    <x:xf numFmtId="166" fontId="5" fillId="13" borderId="0" xfId="0" applyNumberFormat="1" applyFont="1" applyFill="1" applyBorder="1"/>
    <x:xf numFmtId="165" fontId="5" fillId="13" borderId="0" xfId="0" applyNumberFormat="1" applyFont="1" applyFill="1" applyBorder="1"/>
    <x:xf numFmtId="0" fontId="5" fillId="13" borderId="0" xfId="0" applyNumberFormat="1" applyFont="1" applyFill="1" applyBorder="1" applyAlignment="1">
      <x:alignment wrapText="1"/>
    </x:xf>
    <x:xf numFmtId="164" fontId="5" fillId="13" borderId="0" xfId="0" applyNumberFormat="1" applyFont="1" applyFill="1" applyBorder="1" applyAlignment="1">
      <x:alignment wrapText="1"/>
    </x:xf>
    <x:xf numFmtId="166" fontId="5" fillId="13" borderId="0" xfId="0" applyNumberFormat="1" applyFont="1" applyFill="1" applyBorder="1" applyAlignment="1">
      <x:alignment wrapText="1"/>
    </x:xf>
    <x:xf numFmtId="165" fontId="5" fillId="13" borderId="0" xfId="0" applyNumberFormat="1" applyFont="1" applyFill="1" applyBorder="1" applyAlignment="1">
      <x:alignment wrapText="1"/>
    </x:xf>
    <x:xf numFmtId="0" fontId="5" fillId="13" borderId="0" xfId="0" applyNumberFormat="1" applyFont="1" applyFill="1" applyBorder="1" applyAlignment="1">
      <x:alignment vertical="center" wrapText="1"/>
    </x:xf>
    <x:xf numFmtId="164" fontId="5" fillId="13" borderId="0" xfId="0" applyNumberFormat="1" applyFont="1" applyFill="1" applyBorder="1" applyAlignment="1">
      <x:alignment vertical="center" wrapText="1"/>
    </x:xf>
    <x:xf numFmtId="166" fontId="5" fillId="13" borderId="0" xfId="0" applyNumberFormat="1" applyFont="1" applyFill="1" applyBorder="1" applyAlignment="1">
      <x:alignment vertical="center" wrapText="1"/>
    </x:xf>
    <x:xf numFmtId="165" fontId="5" fillId="13" borderId="0" xfId="0" applyNumberFormat="1" applyFont="1" applyFill="1" applyBorder="1" applyAlignment="1">
      <x:alignment vertical="center" wrapText="1"/>
    </x:xf>
    <x:xf numFmtId="167" fontId="16" fillId="10" borderId="0" xfId="0" applyNumberFormat="1" applyFont="1" applyFill="1" applyBorder="1" applyAlignment="1">
      <x:alignment vertical="center" wrapText="1"/>
    </x:xf>
    <x:xf numFmtId="167" fontId="14" fillId="10" borderId="0" xfId="0" applyNumberFormat="1" applyFont="1" applyFill="1" applyBorder="1"/>
    <x:xf numFmtId="168" fontId="14" fillId="10" borderId="0" xfId="0" applyNumberFormat="1" applyFont="1" applyFill="1" applyBorder="1"/>
    <x:xf numFmtId="168" fontId="17" fillId="10" borderId="0" xfId="0" applyNumberFormat="1" applyFont="1" applyFill="1" applyBorder="1"/>
    <x:xf numFmtId="169" fontId="14" fillId="10" borderId="0" xfId="0" applyNumberFormat="1" applyFont="1" applyFill="1" applyBorder="1"/>
    <x:xf numFmtId="169" fontId="17" fillId="10" borderId="0" xfId="0" applyNumberFormat="1" applyFont="1" applyFill="1" applyBorder="1"/>
    <x:xf numFmtId="170" fontId="14" fillId="10" borderId="0" xfId="0" applyNumberFormat="1" applyFont="1" applyFill="1" applyBorder="1"/>
    <x:xf numFmtId="170" fontId="17" fillId="10" borderId="0" xfId="0" applyNumberFormat="1" applyFont="1" applyFill="1" applyBorder="1"/>
    <x:xf numFmtId="168" fontId="24" fillId="10" borderId="0" xfId="0" applyNumberFormat="1" applyFont="1" applyFill="1" applyBorder="1"/>
    <x:xf numFmtId="168" fontId="25" fillId="10" borderId="0" xfId="0" applyNumberFormat="1" applyFont="1" applyFill="1" applyBorder="1"/>
    <x:xf numFmtId="169" fontId="24" fillId="10" borderId="0" xfId="0" applyNumberFormat="1" applyFont="1" applyFill="1" applyBorder="1"/>
    <x:xf numFmtId="169" fontId="25" fillId="10" borderId="0" xfId="0" applyNumberFormat="1" applyFont="1" applyFill="1" applyBorder="1"/>
    <x:xf numFmtId="170" fontId="26" fillId="10" borderId="0" xfId="0" applyNumberFormat="1" applyFont="1" applyFill="1" applyBorder="1"/>
    <x:xf numFmtId="170" fontId="27" fillId="10" borderId="0" xfId="0" applyNumberFormat="1" applyFont="1" applyFill="1" applyBorder="1"/>
    <x:xf numFmtId="168" fontId="26" fillId="10" borderId="0" xfId="0" applyNumberFormat="1" applyFont="1" applyFill="1" applyBorder="1"/>
    <x:xf numFmtId="0" fontId="14" fillId="15" borderId="0" xfId="0" applyNumberFormat="1" applyFont="1" applyFill="1" applyBorder="1"/>
    <x:xf numFmtId="168" fontId="24" fillId="15" borderId="0" xfId="0" applyNumberFormat="1" applyFont="1" applyFill="1" applyBorder="1"/>
    <x:xf numFmtId="170" fontId="26" fillId="15" borderId="0" xfId="0" applyNumberFormat="1" applyFont="1" applyFill="1" applyBorder="1"/>
    <x:xf numFmtId="169" fontId="24" fillId="15" borderId="0" xfId="0" applyNumberFormat="1" applyFont="1" applyFill="1" applyBorder="1"/>
    <x:xf numFmtId="168" fontId="26" fillId="15" borderId="0" xfId="0" applyNumberFormat="1" applyFont="1" applyFill="1" applyBorder="1"/>
    <x:xf numFmtId="165" fontId="7" fillId="13" borderId="0" xfId="0" applyNumberFormat="1" applyFont="1" applyFill="1" applyBorder="1"/>
    <x:xf numFmtId="165" fontId="14" fillId="12" borderId="0" xfId="0" applyNumberFormat="1" applyFont="1" applyFill="1" applyBorder="1"/>
    <x:xf numFmtId="165" fontId="18" fillId="12" borderId="0" xfId="0" applyNumberFormat="1" applyFont="1" applyFill="1" applyBorder="1"/>
    <x:xf numFmtId="165" fontId="18" fillId="12" borderId="0" xfId="0" applyNumberFormat="1" applyFont="1" applyFill="1" applyBorder="1" applyAlignment="1">
      <x:alignment wrapText="1"/>
    </x:xf>
    <x:xf numFmtId="0" fontId="17" fillId="13" borderId="0" xfId="0" applyNumberFormat="1" applyFont="1" applyFill="1" applyBorder="1"/>
    <x:xf numFmtId="165" fontId="17" fillId="13" borderId="0" xfId="0" applyNumberFormat="1" applyFont="1" applyFill="1" applyBorder="1"/>
    <x:xf numFmtId="168" fontId="14" fillId="10" borderId="0" xfId="0" applyNumberFormat="1" applyFont="1" applyFill="1" applyBorder="1" applyAlignment="1">
      <x:alignment wrapText="1"/>
    </x:xf>
    <x:xf numFmtId="168" fontId="24" fillId="10" borderId="0" xfId="0" applyNumberFormat="1" applyFont="1" applyFill="1" applyBorder="1" applyAlignment="1">
      <x:alignment wrapText="1"/>
    </x:xf>
    <x:xf numFmtId="168" fontId="26" fillId="10" borderId="0" xfId="0" applyNumberFormat="1" applyFont="1" applyFill="1" applyBorder="1" applyAlignment="1">
      <x:alignment wrapText="1"/>
    </x:xf>
    <x:xf numFmtId="0" fontId="14" fillId="15" borderId="0" xfId="0" applyNumberFormat="1" applyFont="1" applyFill="1" applyBorder="1" applyAlignment="1">
      <x:alignment wrapText="1"/>
    </x:xf>
    <x:xf numFmtId="168" fontId="24" fillId="15" borderId="0" xfId="0" applyNumberFormat="1" applyFont="1" applyFill="1" applyBorder="1" applyAlignment="1">
      <x:alignment wrapText="1"/>
    </x:xf>
    <x:xf numFmtId="168" fontId="26" fillId="15" borderId="0" xfId="0" applyNumberFormat="1" applyFont="1" applyFill="1" applyBorder="1" applyAlignment="1">
      <x:alignment wrapText="1"/>
    </x:xf>
    <x:xf numFmtId="0" fontId="28" fillId="12" borderId="0" xfId="0" applyNumberFormat="1" applyFont="1" applyFill="1" applyBorder="1"/>
    <x:xf numFmtId="0" fontId="28" fillId="12" borderId="0" xfId="0" applyNumberFormat="1" applyFont="1" applyFill="1" applyBorder="1" applyAlignment="1">
      <x:alignment wrapText="1"/>
    </x:xf>
    <x:xf numFmtId="0" fontId="28" fillId="12" borderId="0" xfId="0" applyNumberFormat="1" applyFont="1" applyFill="1" applyBorder="1" applyAlignment="1">
      <x:alignment vertical="center" wrapText="1"/>
    </x:xf>
    <x:xf numFmtId="0" fontId="21" fillId="0" borderId="0" xfId="0" applyNumberFormat="1" applyFont="1" applyFill="1" applyBorder="1"/>
    <x:xf numFmtId="0" fontId="21" fillId="9" borderId="0" xfId="0" applyNumberFormat="1" applyFont="1" applyFill="1" applyBorder="1"/>
    <x:xf numFmtId="0" fontId="30" fillId="11" borderId="2" xfId="0" applyNumberFormat="1" applyFont="1" applyFill="1" applyBorder="1" applyAlignment="1">
      <x:alignment horizontal="left" vertical="center"/>
    </x:xf>
    <x:xf numFmtId="0" fontId="29" fillId="0" borderId="0" xfId="0" applyNumberFormat="1" applyFont="1" applyFill="1" applyBorder="1" applyAlignment="1">
      <x:alignment horizontal="general" vertical="bottom"/>
    </x:xf>
    <x:xf numFmtId="0" fontId="31" fillId="12" borderId="2" xfId="0" applyNumberFormat="1" applyFont="1" applyFill="1" applyBorder="1" applyAlignment="1">
      <x:alignment horizontal="left" vertical="center" wrapText="1"/>
    </x:xf>
    <x:xf numFmtId="0" fontId="32" fillId="13" borderId="2" xfId="0" applyNumberFormat="1" applyFont="1" applyFill="1" applyBorder="1" applyAlignment="1">
      <x:alignment horizontal="left" vertical="center"/>
    </x:xf>
    <x:xf numFmtId="0" fontId="33" fillId="14" borderId="2" xfId="0" applyNumberFormat="1" applyFont="1" applyFill="1" applyBorder="1" applyAlignment="1">
      <x:alignment horizontal="left" vertical="center"/>
    </x:xf>
    <x:xf numFmtId="167" fontId="33" fillId="14" borderId="2" xfId="0" applyNumberFormat="1" applyFont="1" applyFill="1" applyBorder="1" applyAlignment="1">
      <x:alignment horizontal="left" vertical="center"/>
    </x:xf>
    <x:xf numFmtId="0" fontId="35" fillId="12" borderId="2" xfId="0" applyNumberFormat="1" applyFont="1" applyFill="1" applyBorder="1" applyAlignment="1">
      <x:alignment horizontal="left" vertical="center" wrapText="1"/>
    </x:xf>
    <x:xf numFmtId="0" fontId="34" fillId="12" borderId="2" xfId="0" applyNumberFormat="1" applyFont="1" applyFill="1" applyBorder="1" applyAlignment="1">
      <x:alignment horizontal="right" vertical="center"/>
    </x:xf>
    <x:xf numFmtId="0" fontId="34" fillId="15" borderId="2" xfId="0" applyNumberFormat="1" applyFont="1" applyFill="1" applyBorder="1" applyAlignment="1">
      <x:alignment horizontal="left" vertical="center" wrapText="1"/>
    </x:xf>
    <x:xf numFmtId="167" fontId="34" fillId="15" borderId="2" xfId="0" applyNumberFormat="1" applyFont="1" applyFill="1" applyBorder="1" applyAlignment="1">
      <x:alignment horizontal="left" vertical="center" wrapText="1"/>
    </x:xf>
    <x:xf numFmtId="3" fontId="36" fillId="12" borderId="2" xfId="0" applyNumberFormat="1" applyFont="1" applyFill="1" applyBorder="1" applyAlignment="1">
      <x:alignment horizontal="right" vertical="center"/>
    </x:xf>
    <x:xf numFmtId="166" fontId="29" fillId="0" borderId="0" xfId="0" applyNumberFormat="1" applyFont="1" applyFill="1" applyBorder="1" applyAlignment="1">
      <x:alignment horizontal="general" vertical="bottom"/>
    </x:xf>
    <x:xf numFmtId="165" fontId="29" fillId="0" borderId="0" xfId="0" applyNumberFormat="1" applyFont="1" applyFill="1" applyBorder="1" applyAlignment="1">
      <x:alignment horizontal="general" vertical="bottom"/>
    </x:xf>
    <x:xf numFmtId="0" fontId="34" fillId="0" borderId="2" xfId="0" applyNumberFormat="1" applyFont="1" applyFill="1" applyBorder="1" applyAlignment="1">
      <x:alignment horizontal="left" vertical="center" wrapText="1"/>
    </x:xf>
    <x:xf numFmtId="167" fontId="34" fillId="0" borderId="2" xfId="0" applyNumberFormat="1" applyFont="1" applyFill="1" applyBorder="1" applyAlignment="1">
      <x:alignment horizontal="left" vertical="center" wrapText="1"/>
    </x:xf>
    <x:xf numFmtId="164" fontId="34" fillId="12" borderId="2" xfId="0" applyNumberFormat="1" applyFont="1" applyFill="1" applyBorder="1" applyAlignment="1">
      <x:alignment horizontal="right" vertical="center"/>
    </x:xf>
    <x:xf numFmtId="164" fontId="29" fillId="0" borderId="0" xfId="0" applyNumberFormat="1" applyFont="1" applyFill="1" applyBorder="1" applyAlignment="1">
      <x:alignment horizontal="general" vertical="bottom"/>
    </x:xf>
    <x:xf numFmtId="0" fontId="37" fillId="13" borderId="2" xfId="0" applyNumberFormat="1" applyFont="1" applyFill="1" applyBorder="1" applyAlignment="1">
      <x:alignment horizontal="center" vertical="center" wrapText="1"/>
    </x:xf>
    <x:xf numFmtId="168" fontId="37" fillId="13" borderId="2" xfId="0" applyNumberFormat="1" applyFont="1" applyFill="1" applyBorder="1" applyAlignment="1">
      <x:alignment horizontal="center" vertical="center" wrapText="1"/>
    </x:xf>
    <x:xf numFmtId="170" fontId="37" fillId="13" borderId="2" xfId="0" applyNumberFormat="1" applyFont="1" applyFill="1" applyBorder="1" applyAlignment="1">
      <x:alignment horizontal="center" vertical="center" wrapText="1"/>
    </x:xf>
    <x:xf numFmtId="169" fontId="37" fillId="13" borderId="2" xfId="0" applyNumberFormat="1" applyFont="1" applyFill="1" applyBorder="1" applyAlignment="1">
      <x:alignment horizontal="center" vertical="center" wrapText="1"/>
    </x:xf>
    <x:xf numFmtId="170" fontId="29" fillId="0" borderId="0" xfId="0" applyNumberFormat="1" applyFont="1" applyFill="1" applyBorder="1" applyAlignment="1">
      <x:alignment horizontal="general" vertical="bottom"/>
    </x:xf>
    <x:xf numFmtId="168" fontId="29" fillId="0" borderId="0" xfId="0" applyNumberFormat="1" applyFont="1" applyFill="1" applyBorder="1" applyAlignment="1">
      <x:alignment horizontal="general" vertical="bottom"/>
    </x:xf>
    <x:xf numFmtId="171" fontId="34" fillId="15" borderId="2" xfId="0" applyNumberFormat="1" applyFont="1" applyFill="1" applyBorder="1" applyAlignment="1">
      <x:alignment horizontal="left" vertical="center"/>
    </x:xf>
    <x:xf numFmtId="166" fontId="34" fillId="15" borderId="2" xfId="0" applyNumberFormat="1" applyFont="1" applyFill="1" applyBorder="1" applyAlignment="1">
      <x:alignment horizontal="left" vertical="center"/>
    </x:xf>
    <x:xf numFmtId="172" fontId="34" fillId="15" borderId="2" xfId="0" applyNumberFormat="1" applyFont="1" applyFill="1" applyBorder="1" applyAlignment="1">
      <x:alignment horizontal="left" vertical="center"/>
    </x:xf>
    <x:xf numFmtId="3" fontId="34" fillId="15" borderId="2" xfId="0" applyNumberFormat="1" applyFont="1" applyFill="1" applyBorder="1" applyAlignment="1">
      <x:alignment horizontal="left" vertical="center"/>
    </x:xf>
    <x:xf numFmtId="171" fontId="34" fillId="0" borderId="2" xfId="0" applyNumberFormat="1" applyFont="1" applyFill="1" applyBorder="1" applyAlignment="1">
      <x:alignment horizontal="left" vertical="center"/>
    </x:xf>
    <x:xf numFmtId="166" fontId="34" fillId="0" borderId="2" xfId="0" applyNumberFormat="1" applyFont="1" applyFill="1" applyBorder="1" applyAlignment="1">
      <x:alignment horizontal="left" vertical="center"/>
    </x:xf>
    <x:xf numFmtId="172" fontId="34" fillId="0" borderId="2" xfId="0" applyNumberFormat="1" applyFont="1" applyFill="1" applyBorder="1" applyAlignment="1">
      <x:alignment horizontal="left" vertical="center"/>
    </x:xf>
    <x:xf numFmtId="3" fontId="34" fillId="0" borderId="2" xfId="0" applyNumberFormat="1" applyFont="1" applyFill="1" applyBorder="1" applyAlignment="1">
      <x:alignment horizontal="left" vertical="center"/>
    </x:xf>
    <x:xf numFmtId="0" fontId="38" fillId="12" borderId="2" xfId="0" applyNumberFormat="1" applyFont="1" applyFill="1" applyBorder="1" applyAlignment="1">
      <x:alignment horizontal="left" vertical="center" wrapText="1"/>
    </x:xf>
    <x:xf numFmtId="167" fontId="36" fillId="12" borderId="2" xfId="0" applyNumberFormat="1" applyFont="1" applyFill="1" applyBorder="1" applyAlignment="1">
      <x:alignment horizontal="right" vertical="center"/>
    </x:xf>
    <x:xf numFmtId="0" fontId="30" fillId="10" borderId="2" xfId="0" applyNumberFormat="1" applyFont="1" applyFill="1" applyBorder="1" applyAlignment="1">
      <x:alignment horizontal="left" vertical="center"/>
    </x:xf>
    <x:xf numFmtId="0" fontId="29" fillId="10" borderId="0" xfId="0" applyNumberFormat="1" applyFont="1" applyFill="1" applyBorder="1" applyAlignment="1">
      <x:alignment horizontal="general" vertical="bottom"/>
    </x:xf>
    <x:xf numFmtId="0" fontId="31" fillId="10" borderId="2" xfId="0" applyNumberFormat="1" applyFont="1" applyFill="1" applyBorder="1" applyAlignment="1">
      <x:alignment horizontal="left" vertical="center" wrapText="1"/>
    </x:xf>
    <x:xf numFmtId="0" fontId="32" fillId="10" borderId="2" xfId="0" applyNumberFormat="1" applyFont="1" applyFill="1" applyBorder="1" applyAlignment="1">
      <x:alignment horizontal="left" vertical="center"/>
    </x:xf>
    <x:xf numFmtId="0" fontId="33" fillId="10" borderId="2" xfId="0" applyNumberFormat="1" applyFont="1" applyFill="1" applyBorder="1" applyAlignment="1">
      <x:alignment horizontal="left" vertical="center"/>
    </x:xf>
    <x:xf numFmtId="167" fontId="33" fillId="10" borderId="2" xfId="0" applyNumberFormat="1" applyFont="1" applyFill="1" applyBorder="1" applyAlignment="1">
      <x:alignment horizontal="left" vertical="center"/>
    </x:xf>
    <x:xf numFmtId="0" fontId="35" fillId="10" borderId="2" xfId="0" applyNumberFormat="1" applyFont="1" applyFill="1" applyBorder="1" applyAlignment="1">
      <x:alignment horizontal="left" vertical="center" wrapText="1"/>
    </x:xf>
    <x:xf numFmtId="0" fontId="34" fillId="10" borderId="2" xfId="0" applyNumberFormat="1" applyFont="1" applyFill="1" applyBorder="1" applyAlignment="1">
      <x:alignment horizontal="right" vertical="center"/>
    </x:xf>
    <x:xf numFmtId="0" fontId="34" fillId="10" borderId="2" xfId="0" applyNumberFormat="1" applyFont="1" applyFill="1" applyBorder="1" applyAlignment="1">
      <x:alignment horizontal="left" vertical="center" wrapText="1"/>
    </x:xf>
    <x:xf numFmtId="167" fontId="34" fillId="10" borderId="2" xfId="0" applyNumberFormat="1" applyFont="1" applyFill="1" applyBorder="1" applyAlignment="1">
      <x:alignment horizontal="left" vertical="center" wrapText="1"/>
    </x:xf>
    <x:xf numFmtId="167" fontId="36" fillId="10" borderId="2" xfId="0" applyNumberFormat="1" applyFont="1" applyFill="1" applyBorder="1" applyAlignment="1">
      <x:alignment horizontal="right" vertical="center"/>
    </x:xf>
    <x:xf numFmtId="166" fontId="29" fillId="10" borderId="0" xfId="0" applyNumberFormat="1" applyFont="1" applyFill="1" applyBorder="1" applyAlignment="1">
      <x:alignment horizontal="general" vertical="bottom"/>
    </x:xf>
    <x:xf numFmtId="165" fontId="29" fillId="10" borderId="0" xfId="0" applyNumberFormat="1" applyFont="1" applyFill="1" applyBorder="1" applyAlignment="1">
      <x:alignment horizontal="general" vertical="bottom"/>
    </x:xf>
    <x:xf numFmtId="164" fontId="34" fillId="10" borderId="2" xfId="0" applyNumberFormat="1" applyFont="1" applyFill="1" applyBorder="1" applyAlignment="1">
      <x:alignment horizontal="right" vertical="center"/>
    </x:xf>
    <x:xf numFmtId="164" fontId="29" fillId="10" borderId="0" xfId="0" applyNumberFormat="1" applyFont="1" applyFill="1" applyBorder="1" applyAlignment="1">
      <x:alignment horizontal="general" vertical="bottom"/>
    </x:xf>
    <x:xf numFmtId="0" fontId="37" fillId="10" borderId="2" xfId="0" applyNumberFormat="1" applyFont="1" applyFill="1" applyBorder="1" applyAlignment="1">
      <x:alignment horizontal="center" vertical="center" wrapText="1"/>
    </x:xf>
    <x:xf numFmtId="168" fontId="37" fillId="10" borderId="2" xfId="0" applyNumberFormat="1" applyFont="1" applyFill="1" applyBorder="1" applyAlignment="1">
      <x:alignment horizontal="center" vertical="center" wrapText="1"/>
    </x:xf>
    <x:xf numFmtId="170" fontId="37" fillId="10" borderId="2" xfId="0" applyNumberFormat="1" applyFont="1" applyFill="1" applyBorder="1" applyAlignment="1">
      <x:alignment horizontal="center" vertical="center" wrapText="1"/>
    </x:xf>
    <x:xf numFmtId="169" fontId="37" fillId="10" borderId="2" xfId="0" applyNumberFormat="1" applyFont="1" applyFill="1" applyBorder="1" applyAlignment="1">
      <x:alignment horizontal="center" vertical="center" wrapText="1"/>
    </x:xf>
    <x:xf numFmtId="170" fontId="29" fillId="10" borderId="0" xfId="0" applyNumberFormat="1" applyFont="1" applyFill="1" applyBorder="1" applyAlignment="1">
      <x:alignment horizontal="general" vertical="bottom"/>
    </x:xf>
    <x:xf numFmtId="168" fontId="29" fillId="10" borderId="0" xfId="0" applyNumberFormat="1" applyFont="1" applyFill="1" applyBorder="1" applyAlignment="1">
      <x:alignment horizontal="general" vertical="bottom"/>
    </x:xf>
    <x:xf numFmtId="171" fontId="34" fillId="10" borderId="2" xfId="0" applyNumberFormat="1" applyFont="1" applyFill="1" applyBorder="1" applyAlignment="1">
      <x:alignment horizontal="left" vertical="center"/>
    </x:xf>
    <x:xf numFmtId="166" fontId="34" fillId="10" borderId="2" xfId="0" applyNumberFormat="1" applyFont="1" applyFill="1" applyBorder="1" applyAlignment="1">
      <x:alignment horizontal="left" vertical="center"/>
    </x:xf>
    <x:xf numFmtId="172" fontId="34" fillId="10" borderId="2" xfId="0" applyNumberFormat="1" applyFont="1" applyFill="1" applyBorder="1" applyAlignment="1">
      <x:alignment horizontal="left" vertical="center"/>
    </x:xf>
    <x:xf numFmtId="3" fontId="34" fillId="10" borderId="2" xfId="0" applyNumberFormat="1" applyFont="1" applyFill="1" applyBorder="1" applyAlignment="1">
      <x:alignment horizontal="left" vertical="center"/>
    </x:xf>
    <x:xf numFmtId="0" fontId="38" fillId="10" borderId="2" xfId="0" applyNumberFormat="1" applyFont="1" applyFill="1" applyBorder="1" applyAlignment="1">
      <x:alignment horizontal="left" vertical="center" wrapText="1"/>
    </x:xf>
    <x:xf numFmtId="0" fontId="39" fillId="10" borderId="2" xfId="0" applyNumberFormat="1" applyFont="1" applyFill="1" applyBorder="1" applyAlignment="1">
      <x:alignment horizontal="left" vertical="center"/>
    </x:xf>
    <x:xf numFmtId="0" fontId="40" fillId="10" borderId="0" xfId="0" applyNumberFormat="1" applyFont="1" applyFill="1" applyBorder="1" applyAlignment="1">
      <x:alignment horizontal="general" vertical="bottom"/>
    </x:xf>
    <x:xf numFmtId="0" fontId="41" fillId="10" borderId="2" xfId="0" applyNumberFormat="1" applyFont="1" applyFill="1" applyBorder="1" applyAlignment="1">
      <x:alignment horizontal="left" vertical="center" wrapText="1"/>
    </x:xf>
    <x:xf numFmtId="0" fontId="42" fillId="10" borderId="2" xfId="0" applyNumberFormat="1" applyFont="1" applyFill="1" applyBorder="1" applyAlignment="1">
      <x:alignment horizontal="left" vertical="center"/>
    </x:xf>
    <x:xf numFmtId="167" fontId="42" fillId="10" borderId="2" xfId="0" applyNumberFormat="1" applyFont="1" applyFill="1" applyBorder="1" applyAlignment="1">
      <x:alignment horizontal="left" vertical="center"/>
    </x:xf>
    <x:xf numFmtId="0" fontId="40" fillId="10" borderId="2" xfId="0" applyNumberFormat="1" applyFont="1" applyFill="1" applyBorder="1" applyAlignment="1">
      <x:alignment horizontal="left" vertical="center" wrapText="1"/>
    </x:xf>
    <x:xf numFmtId="0" fontId="40" fillId="10" borderId="2" xfId="0" applyNumberFormat="1" applyFont="1" applyFill="1" applyBorder="1" applyAlignment="1">
      <x:alignment horizontal="right" vertical="center"/>
    </x:xf>
    <x:xf numFmtId="167" fontId="40" fillId="10" borderId="2" xfId="0" applyNumberFormat="1" applyFont="1" applyFill="1" applyBorder="1" applyAlignment="1">
      <x:alignment horizontal="left" vertical="center" wrapText="1"/>
    </x:xf>
    <x:xf numFmtId="167" fontId="42" fillId="10" borderId="2" xfId="0" applyNumberFormat="1" applyFont="1" applyFill="1" applyBorder="1" applyAlignment="1">
      <x:alignment horizontal="right" vertical="center"/>
    </x:xf>
    <x:xf numFmtId="166" fontId="40" fillId="10" borderId="0" xfId="0" applyNumberFormat="1" applyFont="1" applyFill="1" applyBorder="1" applyAlignment="1">
      <x:alignment horizontal="general" vertical="bottom"/>
    </x:xf>
    <x:xf numFmtId="165" fontId="40" fillId="10" borderId="0" xfId="0" applyNumberFormat="1" applyFont="1" applyFill="1" applyBorder="1" applyAlignment="1">
      <x:alignment horizontal="general" vertical="bottom"/>
    </x:xf>
    <x:xf numFmtId="164" fontId="40" fillId="10" borderId="2" xfId="0" applyNumberFormat="1" applyFont="1" applyFill="1" applyBorder="1" applyAlignment="1">
      <x:alignment horizontal="right" vertical="center"/>
    </x:xf>
    <x:xf numFmtId="164" fontId="40" fillId="10" borderId="0" xfId="0" applyNumberFormat="1" applyFont="1" applyFill="1" applyBorder="1" applyAlignment="1">
      <x:alignment horizontal="general" vertical="bottom"/>
    </x:xf>
    <x:xf numFmtId="0" fontId="43" fillId="10" borderId="2" xfId="0" applyNumberFormat="1" applyFont="1" applyFill="1" applyBorder="1" applyAlignment="1">
      <x:alignment horizontal="center" vertical="center" wrapText="1"/>
    </x:xf>
    <x:xf numFmtId="168" fontId="43" fillId="10" borderId="2" xfId="0" applyNumberFormat="1" applyFont="1" applyFill="1" applyBorder="1" applyAlignment="1">
      <x:alignment horizontal="center" vertical="center" wrapText="1"/>
    </x:xf>
    <x:xf numFmtId="170" fontId="43" fillId="10" borderId="2" xfId="0" applyNumberFormat="1" applyFont="1" applyFill="1" applyBorder="1" applyAlignment="1">
      <x:alignment horizontal="center" vertical="center" wrapText="1"/>
    </x:xf>
    <x:xf numFmtId="169" fontId="43" fillId="10" borderId="2" xfId="0" applyNumberFormat="1" applyFont="1" applyFill="1" applyBorder="1" applyAlignment="1">
      <x:alignment horizontal="center" vertical="center" wrapText="1"/>
    </x:xf>
    <x:xf numFmtId="170" fontId="40" fillId="10" borderId="0" xfId="0" applyNumberFormat="1" applyFont="1" applyFill="1" applyBorder="1" applyAlignment="1">
      <x:alignment horizontal="general" vertical="bottom"/>
    </x:xf>
    <x:xf numFmtId="168" fontId="40" fillId="10" borderId="0" xfId="0" applyNumberFormat="1" applyFont="1" applyFill="1" applyBorder="1" applyAlignment="1">
      <x:alignment horizontal="general" vertical="bottom"/>
    </x:xf>
    <x:xf numFmtId="171" fontId="40" fillId="10" borderId="2" xfId="0" applyNumberFormat="1" applyFont="1" applyFill="1" applyBorder="1" applyAlignment="1">
      <x:alignment horizontal="left" vertical="center"/>
    </x:xf>
    <x:xf numFmtId="166" fontId="40" fillId="10" borderId="2" xfId="0" applyNumberFormat="1" applyFont="1" applyFill="1" applyBorder="1" applyAlignment="1">
      <x:alignment horizontal="left" vertical="center"/>
    </x:xf>
    <x:xf numFmtId="172" fontId="40" fillId="10" borderId="2" xfId="0" applyNumberFormat="1" applyFont="1" applyFill="1" applyBorder="1" applyAlignment="1">
      <x:alignment horizontal="left" vertical="center"/>
    </x:xf>
    <x:xf numFmtId="3" fontId="40" fillId="10" borderId="2" xfId="0" applyNumberFormat="1" applyFont="1" applyFill="1" applyBorder="1" applyAlignment="1">
      <x:alignment horizontal="left" vertical="center"/>
    </x:xf>
    <x:xf numFmtId="0" fontId="44" fillId="10" borderId="0" xfId="0" applyNumberFormat="1" applyFont="1" applyFill="1" applyBorder="1"/>
    <x:xf numFmtId="0" fontId="39" fillId="11" borderId="2" xfId="0" applyNumberFormat="1" applyFont="1" applyFill="1" applyBorder="1" applyAlignment="1">
      <x:alignment horizontal="left" vertical="center"/>
    </x:xf>
    <x:xf numFmtId="0" fontId="40" fillId="11" borderId="0" xfId="0" applyNumberFormat="1" applyFont="1" applyFill="1" applyBorder="1" applyAlignment="1">
      <x:alignment horizontal="general" vertical="bottom"/>
    </x:xf>
    <x:xf numFmtId="0" fontId="30" fillId="11" borderId="0" xfId="0" applyNumberFormat="1" applyFont="1" applyFill="1" applyBorder="1" applyAlignment="1">
      <x:alignment horizontal="general" vertical="bottom"/>
    </x:xf>
    <x:xf numFmtId="0" fontId="30" fillId="11" borderId="0" xfId="0" applyNumberFormat="1" applyFont="1" applyFill="1" applyBorder="1" applyAlignment="1">
      <x:alignment horizontal="general" vertical="center"/>
    </x:xf>
    <x:xf numFmtId="0" fontId="41" fillId="23" borderId="2" xfId="0" applyNumberFormat="1" applyFont="1" applyFill="1" applyBorder="1" applyAlignment="1">
      <x:alignment horizontal="left" vertical="center" wrapText="1"/>
    </x:xf>
    <x:xf numFmtId="0" fontId="40" fillId="23" borderId="0" xfId="0" applyNumberFormat="1" applyFont="1" applyFill="1" applyBorder="1" applyAlignment="1">
      <x:alignment horizontal="general" vertical="bottom"/>
    </x:xf>
    <x:xf numFmtId="0" fontId="35" fillId="23" borderId="2" xfId="0" applyNumberFormat="1" applyFont="1" applyFill="1" applyBorder="1" applyAlignment="1">
      <x:alignment horizontal="left" vertical="center" wrapText="1"/>
    </x:xf>
    <x:xf numFmtId="0" fontId="35" fillId="23" borderId="0" xfId="0" applyNumberFormat="1" applyFont="1" applyFill="1" applyBorder="1" applyAlignment="1">
      <x:alignment horizontal="general" vertical="bottom"/>
    </x:xf>
    <x:xf numFmtId="0" fontId="35" fillId="23" borderId="0" xfId="0" applyNumberFormat="1" applyFont="1" applyFill="1" applyBorder="1" applyAlignment="1">
      <x:alignment horizontal="general" vertical="center"/>
    </x:xf>
    <x:xf numFmtId="0" fontId="40" fillId="13" borderId="0" xfId="0" applyNumberFormat="1" applyFont="1" applyFill="1" applyBorder="1" applyAlignment="1">
      <x:alignment horizontal="general" vertical="bottom"/>
    </x:xf>
    <x:xf numFmtId="0" fontId="32" fillId="13" borderId="0" xfId="0" applyNumberFormat="1" applyFont="1" applyFill="1" applyBorder="1" applyAlignment="1">
      <x:alignment horizontal="general" vertical="bottom"/>
    </x:xf>
    <x:xf numFmtId="0" fontId="42" fillId="25" borderId="2" xfId="0" applyNumberFormat="1" applyFont="1" applyFill="1" applyBorder="1" applyAlignment="1">
      <x:alignment horizontal="left" vertical="center"/>
    </x:xf>
    <x:xf numFmtId="0" fontId="33" fillId="25" borderId="2" xfId="0" applyNumberFormat="1" applyFont="1" applyFill="1" applyBorder="1" applyAlignment="1">
      <x:alignment horizontal="left" vertical="center"/>
    </x:xf>
    <x:xf numFmtId="0" fontId="45" fillId="10" borderId="2" xfId="0" applyNumberFormat="1" applyFont="1" applyFill="1" applyBorder="1" applyAlignment="1">
      <x:alignment horizontal="left" vertical="center"/>
    </x:xf>
    <x:xf numFmtId="167" fontId="45" fillId="10" borderId="2" xfId="0" applyNumberFormat="1" applyFont="1" applyFill="1" applyBorder="1" applyAlignment="1">
      <x:alignment horizontal="left" vertical="center"/>
    </x:xf>
    <x:xf numFmtId="167" fontId="35" fillId="10" borderId="2" xfId="0" applyNumberFormat="1" applyFont="1" applyFill="1" applyBorder="1" applyAlignment="1">
      <x:alignment horizontal="left" vertical="center" wrapText="1"/>
    </x:xf>
    <x:xf numFmtId="0" fontId="45" fillId="10" borderId="2" xfId="0" applyNumberFormat="1" applyFont="1" applyFill="1" applyBorder="1" applyAlignment="1">
      <x:alignment horizontal="left" vertical="center" wrapText="1"/>
    </x:xf>
    <x:xf numFmtId="167" fontId="45" fillId="10" borderId="2" xfId="0" applyNumberFormat="1" applyFont="1" applyFill="1" applyBorder="1" applyAlignment="1">
      <x:alignment horizontal="left" vertical="center" wrapText="1"/>
    </x:xf>
    <x:xf numFmtId="164" fontId="40" fillId="13" borderId="0" xfId="0" applyNumberFormat="1" applyFont="1" applyFill="1" applyBorder="1" applyAlignment="1">
      <x:alignment horizontal="general" vertical="bottom"/>
    </x:xf>
    <x:xf numFmtId="164" fontId="32" fillId="13" borderId="0" xfId="0" applyNumberFormat="1" applyFont="1" applyFill="1" applyBorder="1" applyAlignment="1">
      <x:alignment horizontal="general" vertical="bottom"/>
    </x:xf>
    <x:xf numFmtId="0" fontId="43" fillId="25" borderId="2" xfId="0" applyNumberFormat="1" applyFont="1" applyFill="1" applyBorder="1" applyAlignment="1">
      <x:alignment horizontal="center" vertical="center" wrapText="1"/>
    </x:xf>
    <x:xf numFmtId="168" fontId="43" fillId="25" borderId="2" xfId="0" applyNumberFormat="1" applyFont="1" applyFill="1" applyBorder="1" applyAlignment="1">
      <x:alignment horizontal="center" vertical="center" wrapText="1"/>
    </x:xf>
    <x:xf numFmtId="170" fontId="43" fillId="25" borderId="2" xfId="0" applyNumberFormat="1" applyFont="1" applyFill="1" applyBorder="1" applyAlignment="1">
      <x:alignment horizontal="center" vertical="center" wrapText="1"/>
    </x:xf>
    <x:xf numFmtId="0" fontId="46" fillId="25" borderId="2" xfId="0" applyNumberFormat="1" applyFont="1" applyFill="1" applyBorder="1" applyAlignment="1">
      <x:alignment horizontal="center" vertical="center" wrapText="1"/>
    </x:xf>
    <x:xf numFmtId="168" fontId="46" fillId="25" borderId="2" xfId="0" applyNumberFormat="1" applyFont="1" applyFill="1" applyBorder="1" applyAlignment="1">
      <x:alignment horizontal="center" vertical="center" wrapText="1"/>
    </x:xf>
    <x:xf numFmtId="170" fontId="46" fillId="25" borderId="2" xfId="0" applyNumberFormat="1" applyFont="1" applyFill="1" applyBorder="1" applyAlignment="1">
      <x:alignment horizontal="center" vertical="center" wrapText="1"/>
    </x:xf>
    <x:xf numFmtId="173" fontId="40" fillId="10" borderId="2" xfId="0" applyNumberFormat="1" applyFont="1" applyFill="1" applyBorder="1" applyAlignment="1">
      <x:alignment horizontal="left" vertical="center"/>
    </x:xf>
    <x:xf numFmtId="168" fontId="40" fillId="10" borderId="2" xfId="0" applyNumberFormat="1" applyFont="1" applyFill="1" applyBorder="1" applyAlignment="1">
      <x:alignment horizontal="left" vertical="center"/>
    </x:xf>
    <x:xf numFmtId="169" fontId="40" fillId="10" borderId="2" xfId="0" applyNumberFormat="1" applyFont="1" applyFill="1" applyBorder="1" applyAlignment="1">
      <x:alignment horizontal="left" vertical="center"/>
    </x:xf>
    <x:xf numFmtId="168" fontId="47" fillId="10" borderId="2" xfId="0" applyNumberFormat="1" applyFont="1" applyFill="1" applyBorder="1" applyAlignment="1">
      <x:alignment horizontal="left" vertical="center"/>
    </x:xf>
    <x:xf numFmtId="169" fontId="47" fillId="10" borderId="2" xfId="0" applyNumberFormat="1" applyFont="1" applyFill="1" applyBorder="1" applyAlignment="1">
      <x:alignment horizontal="left" vertical="center"/>
    </x:xf>
    <x:xf numFmtId="173" fontId="40" fillId="15" borderId="2" xfId="0" applyNumberFormat="1" applyFont="1" applyFill="1" applyBorder="1" applyAlignment="1">
      <x:alignment horizontal="left" vertical="center"/>
    </x:xf>
    <x:xf numFmtId="168" fontId="47" fillId="15" borderId="2" xfId="0" applyNumberFormat="1" applyFont="1" applyFill="1" applyBorder="1" applyAlignment="1">
      <x:alignment horizontal="left" vertical="center"/>
    </x:xf>
    <x:xf numFmtId="169" fontId="47" fillId="15" borderId="2" xfId="0" applyNumberFormat="1" applyFont="1" applyFill="1" applyBorder="1" applyAlignment="1">
      <x:alignment horizontal="left" vertical="center"/>
    </x:xf>
    <x:xf numFmtId="173" fontId="40" fillId="15" borderId="3" xfId="0" applyNumberFormat="1" applyFont="1" applyFill="1" applyBorder="1" applyAlignment="1">
      <x:alignment horizontal="left" vertical="center"/>
    </x:xf>
    <x:xf numFmtId="168" fontId="47" fillId="15" borderId="3" xfId="0" applyNumberFormat="1" applyFont="1" applyFill="1" applyBorder="1" applyAlignment="1">
      <x:alignment horizontal="left" vertical="center"/>
    </x:xf>
    <x:xf numFmtId="169" fontId="47" fillId="15" borderId="3" xfId="0" applyNumberFormat="1" applyFont="1" applyFill="1" applyBorder="1" applyAlignment="1">
      <x:alignment horizontal="left" vertical="center"/>
    </x:xf>
    <x:xf numFmtId="0" fontId="41" fillId="12" borderId="2" xfId="0" applyNumberFormat="1" applyFont="1" applyFill="1" applyBorder="1" applyAlignment="1">
      <x:alignment horizontal="left" vertical="center" wrapText="1"/>
    </x:xf>
    <x:xf numFmtId="0" fontId="44" fillId="12" borderId="0" xfId="0" applyNumberFormat="1" applyFont="1" applyFill="1" applyBorder="1"/>
    <x:xf numFmtId="0" fontId="21" fillId="12" borderId="0" xfId="0" applyNumberFormat="1" applyFont="1" applyFill="1" applyBorder="1"/>
    <x:xf numFmtId="0" fontId="21" fillId="12" borderId="0" xfId="0" applyNumberFormat="1" applyFont="1" applyFill="1" applyBorder="1" applyAlignment="1">
      <x:alignment wrapText="1"/>
    </x:xf>
    <x:xf numFmtId="0" fontId="21" fillId="12" borderId="0" xfId="0" applyNumberFormat="1" applyFont="1" applyFill="1" applyBorder="1" applyAlignment="1">
      <x:alignment vertical="center" wrapText="1"/>
    </x:xf>
    <x:xf numFmtId="168" fontId="0" fillId="0" borderId="0" xfId="0" applyNumberFormat="1" applyFont="1" applyFill="1" applyBorder="1"/>
    <x:xf numFmtId="169" fontId="43" fillId="25" borderId="2" xfId="0" applyNumberFormat="1" applyFont="1" applyFill="1" applyBorder="1" applyAlignment="1">
      <x:alignment horizontal="center" vertical="center" wrapText="1"/>
    </x:xf>
    <x:xf numFmtId="169" fontId="48" fillId="25" borderId="2" xfId="0" applyNumberFormat="1" applyFont="1" applyFill="1" applyBorder="1" applyAlignment="1">
      <x:alignment horizontal="center" vertical="center" wrapText="1"/>
    </x:xf>
    <x:xf numFmtId="166" fontId="49" fillId="10" borderId="2" xfId="0" applyNumberFormat="1" applyFont="1" applyFill="1" applyBorder="1" applyAlignment="1">
      <x:alignment horizontal="left" vertical="center"/>
    </x:xf>
    <x:xf numFmtId="0" fontId="40" fillId="13" borderId="2" xfId="0" applyNumberFormat="1" applyFont="1" applyFill="1" applyBorder="1" applyAlignment="1">
      <x:alignment horizontal="left" vertical="center" wrapText="1"/>
    </x:xf>
    <x:xf numFmtId="164" fontId="40" fillId="13" borderId="2" xfId="0" applyNumberFormat="1" applyFont="1" applyFill="1" applyBorder="1" applyAlignment="1">
      <x:alignment horizontal="right" vertical="center"/>
    </x:xf>
    <x:xf numFmtId="166" fontId="40" fillId="13" borderId="0" xfId="0" applyNumberFormat="1" applyFont="1" applyFill="1" applyBorder="1" applyAlignment="1">
      <x:alignment horizontal="general" vertical="bottom"/>
    </x:xf>
    <x:xf numFmtId="165" fontId="40" fillId="13" borderId="0" xfId="0" applyNumberFormat="1" applyFont="1" applyFill="1" applyBorder="1" applyAlignment="1">
      <x:alignment horizontal="general" vertical="bottom"/>
    </x:xf>
    <x:xf numFmtId="0" fontId="32" fillId="13" borderId="2" xfId="0" applyNumberFormat="1" applyFont="1" applyFill="1" applyBorder="1" applyAlignment="1">
      <x:alignment horizontal="left" vertical="center" wrapText="1"/>
    </x:xf>
    <x:xf numFmtId="164" fontId="32" fillId="13" borderId="2" xfId="0" applyNumberFormat="1" applyFont="1" applyFill="1" applyBorder="1" applyAlignment="1">
      <x:alignment horizontal="right" vertical="center"/>
    </x:xf>
    <x:xf numFmtId="166" fontId="32" fillId="13" borderId="0" xfId="0" applyNumberFormat="1" applyFont="1" applyFill="1" applyBorder="1" applyAlignment="1">
      <x:alignment horizontal="general" vertical="bottom"/>
    </x:xf>
    <x:xf numFmtId="165" fontId="32" fillId="13" borderId="0" xfId="0" applyNumberFormat="1" applyFont="1" applyFill="1" applyBorder="1" applyAlignment="1">
      <x:alignment horizontal="general" vertical="bottom"/>
    </x:xf>
    <x:xf numFmtId="0" fontId="51" fillId="11" borderId="2" xfId="0" applyNumberFormat="1" applyFont="1" applyFill="1" applyBorder="1" applyAlignment="1">
      <x:alignment horizontal="left" vertical="center"/>
    </x:xf>
    <x:xf numFmtId="0" fontId="45" fillId="14" borderId="2" xfId="0" applyNumberFormat="1" applyFont="1" applyFill="1" applyBorder="1" applyAlignment="1">
      <x:alignment horizontal="left" vertical="center"/>
    </x:xf>
    <x:xf numFmtId="0" fontId="55" fillId="0" borderId="2" xfId="0" applyNumberFormat="1" applyFont="1" applyFill="1" applyBorder="1" applyAlignment="1">
      <x:alignment horizontal="left" vertical="center" wrapText="1"/>
    </x:xf>
    <x:xf numFmtId="167" fontId="29" fillId="0" borderId="0" xfId="0" applyNumberFormat="1" applyFont="1" applyFill="1" applyBorder="1" applyAlignment="1">
      <x:alignment horizontal="general" vertical="bottom"/>
    </x:xf>
    <x:xf numFmtId="0" fontId="45" fillId="14" borderId="2" xfId="0" applyNumberFormat="1" applyFont="1" applyFill="1" applyBorder="1" applyAlignment="1">
      <x:alignment horizontal="center" vertical="center" wrapText="1"/>
    </x:xf>
    <x:xf numFmtId="168" fontId="45" fillId="14" borderId="2" xfId="0" applyNumberFormat="1" applyFont="1" applyFill="1" applyBorder="1" applyAlignment="1">
      <x:alignment horizontal="center" vertical="center" wrapText="1"/>
    </x:xf>
    <x:xf numFmtId="170" fontId="45" fillId="14" borderId="2" xfId="0" applyNumberFormat="1" applyFont="1" applyFill="1" applyBorder="1" applyAlignment="1">
      <x:alignment horizontal="center" vertical="center" wrapText="1"/>
    </x:xf>
    <x:xf numFmtId="169" fontId="45" fillId="14" borderId="2" xfId="0" applyNumberFormat="1" applyFont="1" applyFill="1" applyBorder="1" applyAlignment="1">
      <x:alignment horizontal="center" vertical="center" wrapText="1"/>
    </x:xf>
    <x:xf numFmtId="171" fontId="55" fillId="32" borderId="2" xfId="0" applyNumberFormat="1" applyFont="1" applyFill="1" applyBorder="1" applyAlignment="1">
      <x:alignment horizontal="left" vertical="center"/>
    </x:xf>
    <x:xf numFmtId="3" fontId="55" fillId="32" borderId="2" xfId="0" applyNumberFormat="1" applyFont="1" applyFill="1" applyBorder="1" applyAlignment="1">
      <x:alignment horizontal="left" vertical="center"/>
    </x:xf>
    <x:xf numFmtId="164" fontId="55" fillId="32" borderId="2" xfId="0" applyNumberFormat="1" applyFont="1" applyFill="1" applyBorder="1" applyAlignment="1">
      <x:alignment horizontal="left" vertical="center"/>
    </x:xf>
    <x:xf numFmtId="166" fontId="55" fillId="32" borderId="2" xfId="0" applyNumberFormat="1" applyFont="1" applyFill="1" applyBorder="1" applyAlignment="1">
      <x:alignment horizontal="left" vertical="center"/>
    </x:xf>
    <x:xf numFmtId="170" fontId="35" fillId="12" borderId="2" xfId="0" applyNumberFormat="1" applyFont="1" applyFill="1" applyBorder="1" applyAlignment="1">
      <x:alignment horizontal="left" vertical="center" wrapText="1"/>
    </x:xf>
    <x:xf numFmtId="164" fontId="35" fillId="12" borderId="2" xfId="0" applyNumberFormat="1" applyFont="1" applyFill="1" applyBorder="1" applyAlignment="1">
      <x:alignment horizontal="left" vertical="center" wrapText="1"/>
    </x:xf>
    <x:xf numFmtId="171" fontId="55" fillId="0" borderId="2" xfId="0" applyNumberFormat="1" applyFont="1" applyFill="1" applyBorder="1" applyAlignment="1">
      <x:alignment horizontal="left" vertical="center"/>
    </x:xf>
    <x:xf numFmtId="3" fontId="55" fillId="0" borderId="2" xfId="0" applyNumberFormat="1" applyFont="1" applyFill="1" applyBorder="1" applyAlignment="1">
      <x:alignment horizontal="left" vertical="center"/>
    </x:xf>
    <x:xf numFmtId="164" fontId="55" fillId="0" borderId="2" xfId="0" applyNumberFormat="1" applyFont="1" applyFill="1" applyBorder="1" applyAlignment="1">
      <x:alignment horizontal="left" vertical="center"/>
    </x:xf>
    <x:xf numFmtId="166" fontId="55" fillId="0" borderId="2" xfId="0" applyNumberFormat="1" applyFont="1" applyFill="1" applyBorder="1" applyAlignment="1">
      <x:alignment horizontal="left" vertical="center"/>
    </x:xf>
    <x:xf numFmtId="168" fontId="35" fillId="12" borderId="2" xfId="0" applyNumberFormat="1" applyFont="1" applyFill="1" applyBorder="1" applyAlignment="1">
      <x:alignment horizontal="left" vertical="center" wrapText="1"/>
    </x:xf>
    <x:xf numFmtId="170" fontId="29" fillId="33" borderId="0" xfId="0" applyNumberFormat="1" applyFont="1" applyFill="1" applyBorder="1" applyAlignment="1">
      <x:alignment horizontal="general" vertical="bottom"/>
    </x:xf>
    <x:xf numFmtId="170" fontId="45" fillId="33" borderId="0" xfId="0" applyNumberFormat="1" applyFont="1" applyFill="1" applyBorder="1" applyAlignment="1">
      <x:alignment horizontal="general" vertical="bottom"/>
    </x:xf>
    <x:xf numFmtId="170" fontId="45" fillId="33" borderId="0" xfId="0" applyNumberFormat="1" applyFont="1" applyFill="1" applyBorder="1" applyAlignment="1">
      <x:alignment horizontal="center" vertical="bottom"/>
    </x:xf>
    <x:xf numFmtId="170" fontId="57" fillId="0" borderId="0" xfId="0" applyNumberFormat="1" applyFont="1" applyFill="1" applyBorder="1" applyAlignment="1">
      <x:alignment horizontal="general" vertical="bottom"/>
    </x:xf>
    <x:xf numFmtId="0" fontId="57" fillId="0" borderId="0" xfId="0" applyNumberFormat="1" applyFont="1" applyFill="1" applyBorder="1" applyAlignment="1">
      <x:alignment horizontal="general" vertical="bottom"/>
    </x:xf>
    <x:xf numFmtId="168" fontId="57" fillId="0" borderId="0" xfId="0" applyNumberFormat="1" applyFont="1" applyFill="1" applyBorder="1" applyAlignment="1">
      <x:alignment horizontal="general" vertical="bottom"/>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c75dbc6ecff4559" /><Relationship Type="http://schemas.openxmlformats.org/officeDocument/2006/relationships/theme" Target="/xl/theme/theme1.xml" Id="Rfd479488dd6c4ded" /><Relationship Type="http://schemas.openxmlformats.org/officeDocument/2006/relationships/sharedStrings" Target="/xl/sharedStrings.xml" Id="R1615abae33104b9d" /><Relationship Type="http://schemas.openxmlformats.org/officeDocument/2006/relationships/worksheet" Target="/xl/worksheets/sheet1.xml" Id="R3679b6e0114d46c4" /><Relationship Type="http://schemas.openxmlformats.org/officeDocument/2006/relationships/worksheet" Target="/xl/worksheets/sheet2.xml" Id="R91f6601c0aae4d89" /><Relationship Type="http://schemas.openxmlformats.org/officeDocument/2006/relationships/worksheet" Target="/xl/worksheets/sheet3.xml" Id="R64ca1a3b535d4f50" /><Relationship Type="http://schemas.openxmlformats.org/officeDocument/2006/relationships/worksheet" Target="/xl/worksheets/sheet4.xml" Id="Rb82d343e263a4cfd" /><Relationship Type="http://schemas.openxmlformats.org/officeDocument/2006/relationships/worksheet" Target="/xl/worksheets/sheet5.xml" Id="Rdd171749d2ad429c" /><Relationship Type="http://schemas.openxmlformats.org/officeDocument/2006/relationships/worksheet" Target="/xl/worksheets/sheet6.xml" Id="R34464c62f2ae4abc" /><Relationship Type="http://schemas.openxmlformats.org/officeDocument/2006/relationships/worksheet" Target="/xl/worksheets/sheet7.xml" Id="Rede7d6025cc54533" /></Relationships>
</file>

<file path=xl/drawings/_rels/drawing1.xml.rels>&#65279;<?xml version="1.0" encoding="utf-8"?><Relationships xmlns="http://schemas.openxmlformats.org/package/2006/relationships"><Relationship Type="http://schemas.openxmlformats.org/officeDocument/2006/relationships/chart" Target="/xl/drawings/charts/chart1.xml" Id="R247b5f5ab5cd49b6" /></Relationships>
</file>

<file path=xl/drawings/_rels/drawing2.xml.rels>&#65279;<?xml version="1.0" encoding="utf-8"?><Relationships xmlns="http://schemas.openxmlformats.org/package/2006/relationships"><Relationship Type="http://schemas.openxmlformats.org/officeDocument/2006/relationships/chart" Target="/xl/drawings/charts/chart2.xml" Id="R69ad4c2f0079441c" /></Relationships>
</file>

<file path=xl/drawings/_rels/drawing3.xml.rels>&#65279;<?xml version="1.0" encoding="utf-8"?><Relationships xmlns="http://schemas.openxmlformats.org/package/2006/relationships"><Relationship Type="http://schemas.openxmlformats.org/officeDocument/2006/relationships/chart" Target="/xl/drawings/charts/chart3.xml" Id="R84cd53ea721e418a" /></Relationships>
</file>

<file path=xl/drawings/_rels/drawing4.xml.rels>&#65279;<?xml version="1.0" encoding="utf-8"?><Relationships xmlns="http://schemas.openxmlformats.org/package/2006/relationships"><Relationship Type="http://schemas.openxmlformats.org/officeDocument/2006/relationships/chart" Target="/xl/drawings/charts/chart4.xml" Id="R86b555456bdf4081" /><Relationship Type="http://schemas.openxmlformats.org/officeDocument/2006/relationships/chart" Target="/xl/drawings/charts/chart5.xml" Id="R00f151f6f25a4971" /></Relationships>
</file>

<file path=xl/drawings/_rels/drawing5.xml.rels>&#65279;<?xml version="1.0" encoding="utf-8"?><Relationships xmlns="http://schemas.openxmlformats.org/package/2006/relationships"><Relationship Type="http://schemas.openxmlformats.org/officeDocument/2006/relationships/chart" Target="/xl/drawings/charts/chart6.xml" Id="R7b7ce0dfd12849b2" /><Relationship Type="http://schemas.openxmlformats.org/officeDocument/2006/relationships/chart" Target="/xl/drawings/charts/chart7.xml" Id="Re5f16daa0d444d3c" /><Relationship Type="http://schemas.openxmlformats.org/officeDocument/2006/relationships/chart" Target="/xl/drawings/charts/chart8.xml" Id="R80cbe4ed7aca42f3" /><Relationship Type="http://schemas.openxmlformats.org/officeDocument/2006/relationships/chart" Target="/xl/drawings/charts/chart9.xml" Id="R6197e9a3aa484b2e"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Total primary energy intensity (EIA)</a:t>
            </a:r>
          </a:p>
        </c:rich>
      </c:tx>
      <c:overlay val="0"/>
    </c:title>
    <c:plotArea>
      <c:lineChart>
        <c:grouping val="standard"/>
        <c:varyColors val="0"/>
        <c:ser>
          <c:idx val="0"/>
          <c:order val="0"/>
          <c:tx>
            <c:v>Energy intensity</c:v>
          </c:tx>
          <c:spPr>
            <a:ln xmlns:a="http://schemas.openxmlformats.org/drawingml/2006/main">
              <a:prstDash val="solid"/>
            </a:ln>
          </c:spPr>
          <c:marker>
            <c:symbol val="none"/>
            <c:spPr>
              <a:ln xmlns:a="http://schemas.openxmlformats.org/drawingml/2006/main">
                <a:prstDash val="solid"/>
              </a:ln>
            </c:spPr>
          </c:marker>
          <c:cat>
            <c:strRef>
              <c:f>'01_Energy_GDP'!$A$8:$A$55</c:f>
              <c:strCache>
                <c:ptCount val="0"/>
              </c:strCache>
            </c:strRef>
          </c:cat>
          <c:val>
            <c:numRef>
              <c:f>'01_Energy_GDP'!$D$8:$D$55</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Oil-specific intensity: products supplied / real GDP</a:t>
            </a:r>
          </a:p>
        </c:rich>
      </c:tx>
      <c:overlay val="0"/>
    </c:title>
    <c:plotArea>
      <c:lineChart>
        <c:grouping val="standard"/>
        <c:varyColors val="0"/>
        <c:ser>
          <c:idx val="0"/>
          <c:order val="0"/>
          <c:tx>
            <c:v>Petroleum intensity</c:v>
          </c:tx>
          <c:spPr>
            <a:ln xmlns:a="http://schemas.openxmlformats.org/drawingml/2006/main">
              <a:prstDash val="solid"/>
            </a:ln>
          </c:spPr>
          <c:marker>
            <c:symbol val="none"/>
            <c:spPr>
              <a:ln xmlns:a="http://schemas.openxmlformats.org/drawingml/2006/main">
                <a:prstDash val="solid"/>
              </a:ln>
            </c:spPr>
          </c:marker>
          <c:cat>
            <c:strRef>
              <c:f>'02_Petroleum_GDP'!$A$8:$A$31</c:f>
              <c:strCache>
                <c:ptCount val="0"/>
              </c:strCache>
            </c:strRef>
          </c:cat>
          <c:val>
            <c:numRef>
              <c:f>'02_Petroleum_GDP'!$D$8:$D$31</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Household energy-goods burden (% of PCE)</a:t>
            </a:r>
          </a:p>
        </c:rich>
      </c:tx>
      <c:overlay val="0"/>
    </c:title>
    <c:plotArea>
      <c:lineChart>
        <c:grouping val="standard"/>
        <c:varyColors val="0"/>
        <c:ser>
          <c:idx val="0"/>
          <c:order val="0"/>
          <c:tx>
            <c:v>Energy goods / PCE</c:v>
          </c:tx>
          <c:spPr>
            <a:ln xmlns:a="http://schemas.openxmlformats.org/drawingml/2006/main">
              <a:prstDash val="solid"/>
            </a:ln>
          </c:spPr>
          <c:marker>
            <c:symbol val="none"/>
            <c:spPr>
              <a:ln xmlns:a="http://schemas.openxmlformats.org/drawingml/2006/main">
                <a:prstDash val="solid"/>
              </a:ln>
            </c:spPr>
          </c:marker>
          <c:cat>
            <c:strRef>
              <c:f>'03_Gas_PCE'!$A$8:$A$63</c:f>
              <c:strCache>
                <c:ptCount val="0"/>
              </c:strCache>
            </c:strRef>
          </c:cat>
          <c:val>
            <c:numRef>
              <c:f>'03_Gas_PCE'!$D$8:$D$63</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Headline vs core CPI — YoY, 2019–2026</a:t>
            </a:r>
          </a:p>
        </c:rich>
      </c:tx>
      <c:overlay val="0"/>
    </c:title>
    <c:plotArea>
      <c:lineChart>
        <c:grouping val="standard"/>
        <c:varyColors val="0"/>
        <c:ser>
          <c:idx val="0"/>
          <c:order val="0"/>
          <c:tx>
            <c:v>Headline CPI</c:v>
          </c:tx>
          <c:spPr>
            <a:ln xmlns:a="http://schemas.openxmlformats.org/drawingml/2006/main">
              <a:prstDash val="solid"/>
            </a:ln>
          </c:spPr>
          <c:marker>
            <c:symbol val="none"/>
            <c:spPr>
              <a:ln xmlns:a="http://schemas.openxmlformats.org/drawingml/2006/main">
                <a:prstDash val="solid"/>
              </a:ln>
            </c:spPr>
          </c:marker>
          <c:cat>
            <c:strRef>
              <c:f>'04_Inflation'!$A$20:$A$112</c:f>
              <c:strCache>
                <c:ptCount val="0"/>
              </c:strCache>
            </c:strRef>
          </c:cat>
          <c:val>
            <c:numRef>
              <c:f>'04_Inflation'!$F$20:$F$112</c:f>
              <c:numCache>
                <c:formatCode>General</c:formatCode>
                <c:ptCount val="0"/>
              </c:numCache>
            </c:numRef>
          </c:val>
          <c:smooth val="0"/>
        </c:ser>
        <c:ser>
          <c:idx val="1"/>
          <c:order val="1"/>
          <c:tx>
            <c:v>Core CPI</c:v>
          </c:tx>
          <c:spPr>
            <a:ln xmlns:a="http://schemas.openxmlformats.org/drawingml/2006/main">
              <a:prstDash val="solid"/>
            </a:ln>
          </c:spPr>
          <c:marker>
            <c:symbol val="none"/>
            <c:spPr>
              <a:ln xmlns:a="http://schemas.openxmlformats.org/drawingml/2006/main">
                <a:prstDash val="solid"/>
              </a:ln>
            </c:spPr>
          </c:marker>
          <c:cat>
            <c:strRef>
              <c:f>'04_Inflation'!$A$20:$A$112</c:f>
              <c:strCache>
                <c:ptCount val="0"/>
              </c:strCache>
            </c:strRef>
          </c:cat>
          <c:val>
            <c:numRef>
              <c:f>'04_Inflation'!$G$20:$G$112</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Energy / transportation CPI — YoY, 2019–2026</a:t>
            </a:r>
          </a:p>
        </c:rich>
      </c:tx>
      <c:overlay val="0"/>
    </c:title>
    <c:plotArea>
      <c:lineChart>
        <c:grouping val="standard"/>
        <c:varyColors val="0"/>
        <c:ser>
          <c:idx val="0"/>
          <c:order val="0"/>
          <c:tx>
            <c:v>Energy CPI</c:v>
          </c:tx>
          <c:spPr>
            <a:ln xmlns:a="http://schemas.openxmlformats.org/drawingml/2006/main">
              <a:prstDash val="solid"/>
            </a:ln>
          </c:spPr>
          <c:marker>
            <c:symbol val="none"/>
            <c:spPr>
              <a:ln xmlns:a="http://schemas.openxmlformats.org/drawingml/2006/main">
                <a:prstDash val="solid"/>
              </a:ln>
            </c:spPr>
          </c:marker>
          <c:cat>
            <c:strRef>
              <c:f>'04_Inflation'!$A$20:$A$112</c:f>
              <c:strCache>
                <c:ptCount val="0"/>
              </c:strCache>
            </c:strRef>
          </c:cat>
          <c:val>
            <c:numRef>
              <c:f>'04_Inflation'!$H$20:$H$112</c:f>
              <c:numCache>
                <c:formatCode>General</c:formatCode>
                <c:ptCount val="0"/>
              </c:numCache>
            </c:numRef>
          </c:val>
          <c:smooth val="0"/>
        </c:ser>
        <c:ser>
          <c:idx val="1"/>
          <c:order val="1"/>
          <c:tx>
            <c:v>Transportation services</c:v>
          </c:tx>
          <c:spPr>
            <a:ln xmlns:a="http://schemas.openxmlformats.org/drawingml/2006/main">
              <a:prstDash val="solid"/>
            </a:ln>
          </c:spPr>
          <c:marker>
            <c:symbol val="none"/>
            <c:spPr>
              <a:ln xmlns:a="http://schemas.openxmlformats.org/drawingml/2006/main">
                <a:prstDash val="solid"/>
              </a:ln>
            </c:spPr>
          </c:marker>
          <c:cat>
            <c:strRef>
              <c:f>'04_Inflation'!$A$20:$A$112</c:f>
              <c:strCache>
                <c:ptCount val="0"/>
              </c:strCache>
            </c:strRef>
          </c:cat>
          <c:val>
            <c:numRef>
              <c:f>'04_Inflation'!$I$20:$I$112</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plotArea>
      <c:lineChart>
        <c:grouping val="standard"/>
        <c:varyColors val="0"/>
        <c:ser>
          <c:idx val="0"/>
          <c:order val="0"/>
          <c:tx>
            <c:v>Real retail sales</c:v>
          </c:tx>
          <c:marker>
            <c:symbol val="none"/>
          </c:marker>
          <c:cat>
            <c:strRef>
              <c:f>'05_Demand_Retail'!$H$25:$H$93</c:f>
              <c:strCache>
                <c:ptCount val="0"/>
              </c:strCache>
            </c:strRef>
          </c:cat>
          <c:val>
            <c:numRef>
              <c:f>'05_Demand_Retail'!$C$25:$C$93</c:f>
              <c:numCache>
                <c:formatCode>0.0%</c:formatCode>
                <c:ptCount val="0"/>
              </c:numCache>
            </c:numRef>
          </c:val>
          <c:smooth val="0"/>
        </c:ser>
        <c:ser>
          <c:idx val="1"/>
          <c:order val="1"/>
          <c:tx>
            <c:v>Total real PCE</c:v>
          </c:tx>
          <c:marker>
            <c:symbol val="none"/>
          </c:marker>
          <c:cat>
            <c:strRef>
              <c:f>'05_Demand_Retail'!$H$25:$H$93</c:f>
              <c:strCache>
                <c:ptCount val="0"/>
              </c:strCache>
            </c:strRef>
          </c:cat>
          <c:val>
            <c:numRef>
              <c:f>'05_Demand_Retail'!$E$25:$E$93</c:f>
              <c:numCache>
                <c:formatCode>0.0%</c:formatCode>
                <c:ptCount val="0"/>
              </c:numCache>
            </c:numRef>
          </c:val>
          <c:smooth val="0"/>
        </c:ser>
        <c:ser>
          <c:idx val="2"/>
          <c:order val="2"/>
          <c:tx>
            <c:v>Real services PCE</c:v>
          </c:tx>
          <c:marker>
            <c:symbol val="none"/>
          </c:marker>
          <c:cat>
            <c:strRef>
              <c:f>'05_Demand_Retail'!$H$25:$H$93</c:f>
              <c:strCache>
                <c:ptCount val="0"/>
              </c:strCache>
            </c:strRef>
          </c:cat>
          <c:val>
            <c:numRef>
              <c:f>'05_Demand_Retail'!$G$25:$G$93</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12"/>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plotArea>
      <c:lineChart>
        <c:grouping val="standard"/>
        <c:varyColors val="0"/>
        <c:ser>
          <c:idx val="0"/>
          <c:order val="0"/>
          <c:tx>
            <c:v>Real retail sales  |  YoY</c:v>
          </c:tx>
          <c:marker>
            <c:symbol val="none"/>
          </c:marker>
          <c:cat>
            <c:strRef>
              <c:f>'05_Demand_Retail'!$H$37:$H$93</c:f>
              <c:strCache>
                <c:ptCount val="0"/>
              </c:strCache>
            </c:strRef>
          </c:cat>
          <c:val>
            <c:numRef>
              <c:f>'05_Demand_Retail'!$C$37:$C$93</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6"/>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plotArea>
      <c:lineChart>
        <c:grouping val="standard"/>
        <c:varyColors val="0"/>
        <c:ser>
          <c:idx val="0"/>
          <c:order val="0"/>
          <c:tx>
            <c:v>Total real PCE  |  YoY</c:v>
          </c:tx>
          <c:marker>
            <c:symbol val="none"/>
          </c:marker>
          <c:cat>
            <c:strRef>
              <c:f>'05_Demand_Retail'!$H$37:$H$93</c:f>
              <c:strCache>
                <c:ptCount val="0"/>
              </c:strCache>
            </c:strRef>
          </c:cat>
          <c:val>
            <c:numRef>
              <c:f>'05_Demand_Retail'!$E$37:$E$93</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6"/>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plotArea>
      <c:lineChart>
        <c:grouping val="standard"/>
        <c:varyColors val="0"/>
        <c:ser>
          <c:idx val="0"/>
          <c:order val="0"/>
          <c:tx>
            <c:v>Real services PCE  |  YoY</c:v>
          </c:tx>
          <c:marker>
            <c:symbol val="none"/>
          </c:marker>
          <c:cat>
            <c:strRef>
              <c:f>'05_Demand_Retail'!$H$37:$H$93</c:f>
              <c:strCache>
                <c:ptCount val="0"/>
              </c:strCache>
            </c:strRef>
          </c:cat>
          <c:val>
            <c:numRef>
              <c:f>'05_Demand_Retail'!$G$37:$G$93</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6"/>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6</xdr:row>
      <xdr:rowOff>0</xdr:rowOff>
    </xdr:from>
    <xdr:to>
      <xdr:col>19</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7b5f5ab5cd49b6"/>
        </a:graphicData>
      </a:graphic>
    </xdr:graphicFrame>
    <xdr:clientData/>
  </xdr:twoCellAnchor>
</xdr:wsDr>
</file>

<file path=xl/drawings/drawing2.xml><?xml version="1.0" encoding="utf-8"?>
<xdr:wsDr xmlns:xdr="http://schemas.openxmlformats.org/drawingml/2006/spreadsheetDrawing">
  <xdr:twoCellAnchor>
    <xdr:from>
      <xdr:col>9</xdr:col>
      <xdr:colOff>0</xdr:colOff>
      <xdr:row>6</xdr:row>
      <xdr:rowOff>0</xdr:rowOff>
    </xdr:from>
    <xdr:to>
      <xdr:col>19</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9ad4c2f0079441c"/>
        </a:graphicData>
      </a:graphic>
    </xdr:graphicFrame>
    <xdr:clientData/>
  </xdr:twoCellAnchor>
</xdr:wsDr>
</file>

<file path=xl/drawings/drawing3.xml><?xml version="1.0" encoding="utf-8"?>
<xdr:wsDr xmlns:xdr="http://schemas.openxmlformats.org/drawingml/2006/spreadsheetDrawing">
  <xdr:twoCellAnchor>
    <xdr:from>
      <xdr:col>9</xdr:col>
      <xdr:colOff>0</xdr:colOff>
      <xdr:row>6</xdr:row>
      <xdr:rowOff>0</xdr:rowOff>
    </xdr:from>
    <xdr:to>
      <xdr:col>19</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4cd53ea721e418a"/>
        </a:graphicData>
      </a:graphic>
    </xdr:graphicFrame>
    <xdr:clientData/>
  </xdr:twoCellAnchor>
</xdr:wsDr>
</file>

<file path=xl/drawings/drawing4.xml><?xml version="1.0" encoding="utf-8"?>
<xdr:wsDr xmlns:xdr="http://schemas.openxmlformats.org/drawingml/2006/spreadsheetDrawing">
  <xdr:twoCellAnchor>
    <xdr:from>
      <xdr:col>10</xdr:col>
      <xdr:colOff>0</xdr:colOff>
      <xdr:row>6</xdr:row>
      <xdr:rowOff>0</xdr:rowOff>
    </xdr:from>
    <xdr:to>
      <xdr:col>20</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6b555456bdf4081"/>
        </a:graphicData>
      </a:graphic>
    </xdr:graphicFrame>
    <xdr:clientData/>
  </xdr:twoCellAnchor>
  <xdr:twoCellAnchor>
    <xdr:from>
      <xdr:col>10</xdr:col>
      <xdr:colOff>0</xdr:colOff>
      <xdr:row>27</xdr:row>
      <xdr:rowOff>0</xdr:rowOff>
    </xdr:from>
    <xdr:to>
      <xdr:col>20</xdr:col>
      <xdr:colOff>0</xdr:colOff>
      <xdr:row>46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0f151f6f25a4971"/>
        </a:graphicData>
      </a:graphic>
    </xdr:graphicFrame>
    <xdr:clientData/>
  </xdr:twoCellAnchor>
</xdr:wsDr>
</file>

<file path=xl/drawings/drawing5.xml><?xml version="1.0" encoding="utf-8"?>
<xdr:wsDr xmlns:xdr="http://schemas.openxmlformats.org/drawingml/2006/spreadsheetDrawing">
  <xdr:twoCellAnchor>
    <xdr:from>
      <xdr:col>8</xdr:col>
      <xdr:colOff>0</xdr:colOff>
      <xdr:row>19</xdr:row>
      <xdr:rowOff>0</xdr:rowOff>
    </xdr:from>
    <xdr:to>
      <xdr:col>21</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b7ce0dfd12849b2"/>
        </a:graphicData>
      </a:graphic>
    </xdr:graphicFrame>
    <xdr:clientData/>
  </xdr:twoCellAnchor>
  <xdr:twoCellAnchor>
    <xdr:from>
      <xdr:col>8</xdr:col>
      <xdr:colOff>0</xdr:colOff>
      <xdr:row>40</xdr:row>
      <xdr:rowOff>0</xdr:rowOff>
    </xdr:from>
    <xdr:to>
      <xdr:col>21</xdr:col>
      <xdr:colOff>0</xdr:colOff>
      <xdr:row>58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5f16daa0d444d3c"/>
        </a:graphicData>
      </a:graphic>
    </xdr:graphicFrame>
    <xdr:clientData/>
  </xdr:twoCellAnchor>
  <xdr:twoCellAnchor>
    <xdr:from>
      <xdr:col>8</xdr:col>
      <xdr:colOff>0</xdr:colOff>
      <xdr:row>60</xdr:row>
      <xdr:rowOff>0</xdr:rowOff>
    </xdr:from>
    <xdr:to>
      <xdr:col>21</xdr:col>
      <xdr:colOff>0</xdr:colOff>
      <xdr:row>78</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0cbe4ed7aca42f3"/>
        </a:graphicData>
      </a:graphic>
    </xdr:graphicFrame>
    <xdr:clientData/>
  </xdr:twoCellAnchor>
  <xdr:twoCellAnchor>
    <xdr:from>
      <xdr:col>8</xdr:col>
      <xdr:colOff>0</xdr:colOff>
      <xdr:row>80</xdr:row>
      <xdr:rowOff>0</xdr:rowOff>
    </xdr:from>
    <xdr:to>
      <xdr:col>21</xdr:col>
      <xdr:colOff>0</xdr:colOff>
      <xdr:row>98</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197e9a3aa484b2e"/>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d5be3a9766a84221" /></Relationships>
</file>

<file path=xl/worksheets/_rels/sheet3.xml.rels>&#65279;<?xml version="1.0" encoding="utf-8"?><Relationships xmlns="http://schemas.openxmlformats.org/package/2006/relationships"><Relationship Type="http://schemas.openxmlformats.org/officeDocument/2006/relationships/drawing" Target="/xl/drawings/drawing2.xml" Id="Rad65ad53eabb47ef" /></Relationships>
</file>

<file path=xl/worksheets/_rels/sheet4.xml.rels>&#65279;<?xml version="1.0" encoding="utf-8"?><Relationships xmlns="http://schemas.openxmlformats.org/package/2006/relationships"><Relationship Type="http://schemas.openxmlformats.org/officeDocument/2006/relationships/drawing" Target="/xl/drawings/drawing3.xml" Id="R2479c5837ad5410d" /></Relationships>
</file>

<file path=xl/worksheets/_rels/sheet5.xml.rels>&#65279;<?xml version="1.0" encoding="utf-8"?><Relationships xmlns="http://schemas.openxmlformats.org/package/2006/relationships"><Relationship Type="http://schemas.openxmlformats.org/officeDocument/2006/relationships/drawing" Target="/xl/drawings/drawing4.xml" Id="Re65d87e9f9b3474f" /></Relationships>
</file>

<file path=xl/worksheets/_rels/sheet6.xml.rels>&#65279;<?xml version="1.0" encoding="utf-8"?><Relationships xmlns="http://schemas.openxmlformats.org/package/2006/relationships"><Relationship Type="http://schemas.openxmlformats.org/officeDocument/2006/relationships/drawing" Target="/xl/drawings/drawing5.xml" Id="R05aaa357caf24187" /></Relationships>
</file>

<file path=xl/worksheets/sheet1.xml><?xml version="1.0" encoding="utf-8"?>
<x:worksheet xmlns:x="http://schemas.openxmlformats.org/spreadsheetml/2006/main">
  <x:sheetFormatPr baseColWidth="8" defaultRowHeight="15"/>
  <x:cols>
    <x:col min="1" max="1" width="37" style="204" customWidth="1"/>
    <x:col min="2" max="2" width="30" style="204" customWidth="1"/>
    <x:col min="3" max="3" width="27" style="204" customWidth="1"/>
    <x:col min="4" max="4" width="50" style="204" customWidth="1"/>
  </x:cols>
  <x:sheetData>
    <x:row r="1" s="204" customFormat="1" ht="24" customHeight="1">
      <x:c r="A1" s="7" t="inlineStr">
        <x:is>
          <x:t xml:space="preserve">OIL INFLATION | SOURCE-REPRODUCIBLE BRIEF</x:t>
        </x:is>
      </x:c>
      <x:c r="B1" s="1" t="n"/>
      <x:c r="C1" s="1" t="n"/>
      <x:c r="D1" s="1" t="n"/>
    </x:row>
    <x:row r="2" s="204" customFormat="1" ht="24" customHeight="1">
      <x:c r="A2" s="1" t="n"/>
      <x:c r="B2" s="1" t="n"/>
      <x:c r="C2" s="1" t="n"/>
      <x:c r="D2" s="1" t="n"/>
    </x:row>
    <x:row r="3" s="204" customFormat="1" ht="30" customHeight="1">
      <x:c r="A3" s="15" t="inlineStr">
        <x:is>
          <x:t xml:space="preserve">Version 7  |  Data snapshot: 18 Oct 2026  |  Excel has no external URLs, web hyperlinks or data connections.</x:t>
        </x:is>
      </x:c>
      <x:c r="B3" s="1" t="n"/>
      <x:c r="C3" s="1" t="n"/>
      <x:c r="D3" s="1" t="n"/>
    </x:row>
    <x:row r="5">
      <x:c r="A5" s="213" t="inlineStr">
        <x:is>
          <x:t xml:space="preserve">CORE THESIS</x:t>
        </x:is>
      </x:c>
      <x:c r="B5" s="213" t="n"/>
      <x:c r="C5" s="213" t="n"/>
      <x:c r="D5" s="213" t="n"/>
    </x:row>
    <x:row r="6" s="204" customFormat="1" ht="28" customHeight="1">
      <x:c r="A6" s="23" t="inlineStr">
        <x:is>
          <x:t xml:space="preserve">Oil has lifted energy-sensitive inflation, but lower structural energy exposure and weaker pricing power could limit second-round transmission. If pass-through stays contained, the Fed may have less reason for aggressive hikes.</x:t>
        </x:is>
      </x:c>
      <x:c r="B6" s="1" t="n"/>
      <x:c r="C6" s="1" t="n"/>
      <x:c r="D6" s="1" t="n"/>
    </x:row>
    <x:row r="7" s="204" customFormat="1" ht="28" customHeight="1">
      <x:c r="A7" s="1" t="n"/>
      <x:c r="B7" s="1" t="n"/>
      <x:c r="C7" s="1" t="n"/>
      <x:c r="D7" s="1" t="n"/>
    </x:row>
    <x:row r="9" s="204" customFormat="1" ht="42" customHeight="1">
      <x:c r="A9" s="218" t="inlineStr">
        <x:is>
          <x:t xml:space="preserve">EVIDENCE</x:t>
        </x:is>
      </x:c>
      <x:c r="B9" s="218" t="inlineStr">
        <x:is>
          <x:t xml:space="preserve">1970 / 1980 / 2022</x:t>
        </x:is>
      </x:c>
      <x:c r="C9" s="218" t="inlineStr">
        <x:is>
          <x:t xml:space="preserve">2025 / 2026</x:t>
        </x:is>
      </x:c>
      <x:c r="D9" s="218" t="inlineStr">
        <x:is>
          <x:t xml:space="preserve">HOW TO INTERPRET</x:t>
        </x:is>
      </x:c>
    </x:row>
    <x:row r="10">
      <x:c r="A10" t="inlineStr">
        <x:is>
          <x:t xml:space="preserve">01  Total energy per real GDP</x:t>
        </x:is>
      </x:c>
      <x:c r="B10" s="220" t="n">
        <x:v>12.42</x:v>
      </x:c>
      <x:c r="C10" s="220" t="n">
        <x:v>4.04</x:v>
      </x:c>
      <x:c r="D10" t="inlineStr">
        <x:is>
          <x:t xml:space="preserve">Direct replica of video; TOTAL energy, not oil</x:t>
        </x:is>
      </x:c>
    </x:row>
    <x:row r="11">
      <x:c r="A11" t="inlineStr">
        <x:is>
          <x:t xml:space="preserve">02  Petroleum supplied / real GDP</x:t>
        </x:is>
      </x:c>
      <x:c r="B11" s="220" t="n">
        <x:f>'02_Petroleum_GDP'!D8</x:f>
        <x:v>2.7644693552449398</x:v>
      </x:c>
      <x:c r="C11" s="220" t="n">
        <x:f>'02_Petroleum_GDP'!D31</x:f>
        <x:v>0.8607834215034224</x:v>
      </x:c>
      <x:c r="D11" t="inlineStr">
        <x:is>
          <x:t xml:space="preserve">Oil-specific volume proxy, not crude oil alone</x:t>
        </x:is>
      </x:c>
    </x:row>
    <x:row r="12">
      <x:c r="A12" t="inlineStr">
        <x:is>
          <x:t xml:space="preserve">03  Household energy-goods / PCE</x:t>
        </x:is>
      </x:c>
      <x:c r="B12" s="219" t="n">
        <x:f>'03_Gas_PCE'!D18</x:f>
        <x:v>0.058205244058407456</x:v>
      </x:c>
      <x:c r="C12" s="219" t="n">
        <x:f>'03_Gas_PCE'!D63</x:f>
        <x:v>0.020067608522219532</x:v>
      </x:c>
      <x:c r="D12" t="inlineStr">
        <x:is>
          <x:t xml:space="preserve">Gas + other energy goods as % nominal PCE</x:t>
        </x:is>
      </x:c>
    </x:row>
    <x:row r="13">
      <x:c r="A13" t="inlineStr">
        <x:is>
          <x:t xml:space="preserve">05 Real retail sales (Apr 2022 / Sep 2026)</x:t>
        </x:is>
      </x:c>
      <x:c r="B13" s="474" t="n">
        <x:f>'05_Demand_Retail'!B40</x:f>
        <x:v>229244</x:v>
      </x:c>
      <x:c r="C13" s="474" t="n">
        <x:f>'05_Demand_Retail'!B93</x:f>
        <x:v>221536</x:v>
      </x:c>
      <x:c r="D13" t="inlineStr">
        <x:is>
          <x:t xml:space="preserve">CPI-adjusted $mn; raw RRSFS levels (no indexing)</x:t>
        </x:is>
      </x:c>
    </x:row>
    <x:row r="16">
      <x:c r="A16" s="213" t="inlineStr">
        <x:is>
          <x:t xml:space="preserve">LOGIC IN FIVE STEPS</x:t>
        </x:is>
      </x:c>
      <x:c r="B16" s="213" t="n"/>
      <x:c r="C16" s="213" t="n"/>
      <x:c r="D16" s="213" t="n"/>
    </x:row>
    <x:row r="17" s="204" customFormat="1" ht="42" customHeight="1">
      <x:c r="A17" t="inlineStr">
        <x:is>
          <x:t xml:space="preserve">1 | DIRECT OIL SHOCK</x:t>
        </x:is>
      </x:c>
      <x:c r="B17" s="35" t="inlineStr">
        <x:is>
          <x:t xml:space="preserve">Oil and transportation-related prices increase (headline CPI/PPI).</x:t>
        </x:is>
      </x:c>
      <x:c r="C17" s="1" t="n"/>
      <x:c r="D17" s="1" t="n"/>
    </x:row>
    <x:row r="18" s="204" customFormat="1" ht="42" customHeight="1">
      <x:c r="A18" t="inlineStr">
        <x:is>
          <x:t xml:space="preserve">2 | PASS-THROUGH</x:t>
        </x:is>
      </x:c>
      <x:c r="B18" s="35" t="inlineStr">
        <x:is>
          <x:t xml:space="preserve">Consumer demand momentum has moderated versus the 2021–2022 reopening surge. In 05, the YoY growth rates of real retail sales, total real PCE, and real services PCE are positive but much less heated than during the earlier spike.</x:t>
        </x:is>
      </x:c>
      <x:c r="C18" s="1" t="n"/>
      <x:c r="D18" s="1" t="n"/>
    </x:row>
    <x:row r="19" s="204" customFormat="1" ht="42" customHeight="1">
      <x:c r="A19" t="inlineStr">
        <x:is>
          <x:t xml:space="preserve">3 | STRUCTURAL BUFFER</x:t>
        </x:is>
      </x:c>
      <x:c r="B19" s="35" t="inlineStr">
        <x:is>
          <x:t xml:space="preserve">The economy uses less energy/oil per unit of real GDP; gasoline + energy goods are a smaller household budget share.</x:t>
        </x:is>
      </x:c>
      <x:c r="C19" s="1" t="n"/>
      <x:c r="D19" s="1" t="n"/>
    </x:row>
    <x:row r="20" s="204" customFormat="1" ht="42" customHeight="1">
      <x:c r="A20" t="inlineStr">
        <x:is>
          <x:t xml:space="preserve">4 | DEMAND IS KEY</x:t>
        </x:is>
      </x:c>
      <x:c r="B20" s="35" t="inlineStr">
        <x:is>
          <x:t xml:space="preserve">Demand matters for companies' pricing power. Real retail sales surged in 2021–22 and remained below the April 2022 peak as of Sep 2026; total real spending and services are still growing. These are demand context, not direct estimates of cost pass-through.</x:t>
        </x:is>
      </x:c>
      <x:c r="C20" s="1" t="n"/>
      <x:c r="D20" s="1" t="n"/>
    </x:row>
    <x:row r="21" s="204" customFormat="1" ht="42" customHeight="1">
      <x:c r="A21" t="inlineStr">
        <x:is>
          <x:t xml:space="preserve">5 | FED / BASE EFFECT</x:t>
        </x:is>
      </x:c>
      <x:c r="B21" s="35" t="inlineStr">
        <x:is>
          <x:t xml:space="preserve">If oil stabilizes and broad pass-through stays limited, YoY energy inflation can fade and the case for aggressive Fed hikes weakens.</x:t>
        </x:is>
      </x:c>
      <x:c r="C21" s="1" t="n"/>
      <x:c r="D21" s="1" t="n"/>
    </x:row>
    <x:row r="23">
      <x:c r="A23" t="str">
        <x:v>05 contains original consumer demand levels plus YoY growth (2021–2026), one comparison chart and three standalone series charts. No composite, rebasing, URLs or external connections. Sources/download instructions in README only.</x:v>
      </x:c>
    </x:row>
    <x:row r="24">
      <x:c r="A24" s="213" t="inlineStr">
        <x:is>
          <x:t xml:space="preserve">INTERPRETATION NOTE</x:t>
        </x:is>
      </x:c>
      <x:c r="B24" s="213" t="n"/>
      <x:c r="C24" s="213" t="n"/>
      <x:c r="D24" s="213" t="n"/>
    </x:row>
    <x:row r="25" s="204" customFormat="1" ht="25" customHeight="1">
      <x:c r="A25" s="39" t="inlineStr">
        <x:is>
          <x:t xml:space="preserve">The difference in demand momentum is descriptive. Oil-to-core-inflation transmission requires separate evidence; avoid attributing observed price changes to oil from a visual comparison alone.</x:t>
        </x:is>
      </x:c>
      <x:c r="B25" s="1" t="n"/>
      <x:c r="C25" s="1" t="n"/>
      <x:c r="D25" s="1" t="n"/>
    </x:row>
    <x:row r="26" s="204" customFormat="1" ht="25" customHeight="1">
      <x:c r="A26" s="1" t="n"/>
      <x:c r="D26" s="1" t="n"/>
    </x:row>
    <x:row r="27" s="204" customFormat="1" ht="25" customHeight="1">
      <x:c r="A27" s="1" t="n"/>
      <x:c r="B27" s="1" t="n"/>
      <x:c r="C27" s="1" t="n"/>
      <x:c r="D27" s="1" t="n"/>
    </x:row>
  </x:sheetData>
  <x:mergeCells>
    <x:mergeCell ref="A1:D2"/>
    <x:mergeCell ref="B19:D19"/>
    <x:mergeCell ref="A25:D27"/>
    <x:mergeCell ref="A3:D3"/>
    <x:mergeCell ref="B17:D17"/>
    <x:mergeCell ref="B18:D18"/>
    <x:mergeCell ref="B21:D21"/>
    <x:mergeCell ref="A6:D7"/>
    <x:mergeCell ref="B20:D20"/>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 style="204" customWidth="1"/>
    <x:col min="2" max="2" width="21" style="204" customWidth="1"/>
    <x:col min="3" max="3" width="23" style="204" customWidth="1"/>
    <x:col min="4" max="4" width="19" style="204" customWidth="1"/>
    <x:col min="5" max="5" width="18" style="204" customWidth="1"/>
    <x:col min="6" max="6" width="15" style="204" customWidth="1"/>
    <x:col min="7" max="7" width="18" style="204" customWidth="1"/>
    <x:col min="8" max="8" width="27" style="204" customWidth="1"/>
    <x:col min="9" max="9" width="3" style="204" customWidth="1"/>
  </x:cols>
  <x:sheetData>
    <x:row r="1" s="204" customFormat="1" ht="24" customHeight="1">
      <x:c r="A1" s="7" t="inlineStr">
        <x:is>
          <x:t xml:space="preserve">01 | TOTAL ENERGY CONSUMPTION PER REAL GDP</x:t>
        </x:is>
      </x:c>
      <x:c r="B1" s="1" t="n"/>
      <x:c r="C1" s="1" t="n"/>
      <x:c r="D1" s="1" t="n"/>
      <x:c r="E1" s="1" t="n"/>
      <x:c r="F1" s="1" t="n"/>
      <x:c r="G1" s="1" t="n"/>
      <x:c r="H1" s="1" t="n"/>
    </x:row>
    <x:row r="2" s="204" customFormat="1" ht="24" customHeight="1">
      <x:c r="A2" s="1" t="n"/>
      <x:c r="B2" s="1" t="n"/>
      <x:c r="C2" s="1" t="n"/>
      <x:c r="D2" s="1" t="n"/>
      <x:c r="E2" s="1" t="n"/>
      <x:c r="F2" s="1" t="n"/>
      <x:c r="G2" s="1" t="n"/>
      <x:c r="H2" s="1" t="n"/>
    </x:row>
    <x:row r="3" s="204" customFormat="1" ht="30" customHeight="1">
      <x:c r="A3" s="15" t="inlineStr">
        <x:is>
          <x:t xml:space="preserve">EIA Monthly Energy Review Table 1.7; BEA real GDP (GDPCA via FRED). Read README for source URLs.</x:t>
        </x:is>
      </x:c>
      <x:c r="B3" s="1" t="n"/>
      <x:c r="C3" s="1" t="n"/>
      <x:c r="D3" s="1" t="n"/>
      <x:c r="E3" s="1" t="n"/>
      <x:c r="F3" s="1" t="n"/>
      <x:c r="G3" s="1" t="n"/>
      <x:c r="H3" s="1" t="n"/>
    </x:row>
    <x:row r="7" s="204" customFormat="1" ht="42" customHeight="1">
      <x:c r="A7" s="218" t="inlineStr">
        <x:is>
          <x:t xml:space="preserve">Year</x:t>
        </x:is>
      </x:c>
      <x:c r="B7" s="218" t="inlineStr">
        <x:is>
          <x:t xml:space="preserve">Total primary energy
(quad Btu)</x:t>
        </x:is>
      </x:c>
      <x:c r="C7" s="218" t="inlineStr">
        <x:is>
          <x:t xml:space="preserve">BEA real GDP
($bn, 2017 chained)</x:t>
        </x:is>
      </x:c>
      <x:c r="D7" s="218" t="inlineStr">
        <x:is>
          <x:t xml:space="preserve">EIA published
(000 Btu/$)</x:t>
        </x:is>
      </x:c>
      <x:c r="E7" s="218" t="inlineStr">
        <x:is>
          <x:t xml:space="preserve">Calculated
(000 Btu/$)</x:t>
        </x:is>
      </x:c>
      <x:c r="F7" s="218" t="inlineStr">
        <x:is>
          <x:t xml:space="preserve">1970 = 100</x:t>
        </x:is>
      </x:c>
      <x:c r="G7" s="218" t="inlineStr">
        <x:is>
          <x:t xml:space="preserve">Reduction vs 1970</x:t>
        </x:is>
      </x:c>
      <x:c r="H7" s="218" t="inlineStr">
        <x:is>
          <x:t xml:space="preserve">Data provenance</x:t>
        </x:is>
      </x:c>
    </x:row>
    <x:row r="8">
      <x:c r="A8" t="n">
        <x:v>1970</x:v>
      </x:c>
      <x:c r="B8" s="225" t="n">
        <x:v>66.036</x:v>
      </x:c>
      <x:c r="C8" s="225" t="n">
        <x:v>5316.391</x:v>
      </x:c>
      <x:c r="D8" s="225" t="n">
        <x:v>12.42</x:v>
      </x:c>
      <x:c r="E8" t="n">
        <x:f>B8*1000/C8</x:f>
        <x:v>12.421208297132397</x:v>
      </x:c>
      <x:c r="F8" t="n">
        <x:f>D8/$D$8*100</x:f>
        <x:v>100</x:v>
      </x:c>
      <x:c r="G8" s="224" t="n">
        <x:f>1-D8/$D$8</x:f>
        <x:v>0</x:v>
      </x:c>
      <x:c r="H8" t="inlineStr">
        <x:is>
          <x:t xml:space="preserve">EIA T1.7 + BEA GDPCA</x:t>
        </x:is>
      </x:c>
    </x:row>
    <x:row r="9">
      <x:c r="A9" t="n">
        <x:v>1975</x:v>
      </x:c>
      <x:c r="B9" s="225" t="n">
        <x:v>69.788</x:v>
      </x:c>
      <x:c r="C9" s="225" t="n">
        <x:v>6060.875</x:v>
      </x:c>
      <x:c r="D9" s="225" t="n">
        <x:v>11.51</x:v>
      </x:c>
      <x:c r="E9" t="n">
        <x:f>B9*1000/C9</x:f>
        <x:v>11.514509043661187</x:v>
      </x:c>
      <x:c r="F9" t="n">
        <x:f>D9/$D$8*100</x:f>
        <x:v>92.6731078904992</x:v>
      </x:c>
      <x:c r="G9" s="224" t="n">
        <x:f>1-D9/$D$8</x:f>
        <x:v>0.07326892109500804</x:v>
      </x:c>
      <x:c r="H9" t="inlineStr">
        <x:is>
          <x:t xml:space="preserve">EIA T1.7 + BEA GDPCA</x:t>
        </x:is>
      </x:c>
    </x:row>
    <x:row r="10">
      <x:c r="A10" t="n">
        <x:v>1980</x:v>
      </x:c>
      <x:c r="B10" s="225" t="n">
        <x:v>76.038</x:v>
      </x:c>
      <x:c r="C10" s="225" t="n">
        <x:v>7257.316</x:v>
      </x:c>
      <x:c r="D10" s="225" t="n">
        <x:v>10.48</x:v>
      </x:c>
      <x:c r="E10" t="n">
        <x:f>B10*1000/C10</x:f>
        <x:v>10.477427192091401</x:v>
      </x:c>
      <x:c r="F10" t="n">
        <x:f>D10/$D$8*100</x:f>
        <x:v>84.38003220611917</x:v>
      </x:c>
      <x:c r="G10" s="224" t="n">
        <x:f>1-D10/$D$8</x:f>
        <x:v>0.1561996779388083</x:v>
      </x:c>
      <x:c r="H10" t="inlineStr">
        <x:is>
          <x:t xml:space="preserve">EIA T1.7 + BEA GDPCA</x:t>
        </x:is>
      </x:c>
    </x:row>
    <x:row r="11">
      <x:c r="A11" t="n">
        <x:v>1981</x:v>
      </x:c>
      <x:c r="B11" s="225" t="n">
        <x:v>74.15900000000001</x:v>
      </x:c>
      <x:c r="C11" s="225" t="n">
        <x:v>7441.485</x:v>
      </x:c>
      <x:c r="D11" s="225" t="n">
        <x:v>9.970000000000001</x:v>
      </x:c>
      <x:c r="E11" t="n">
        <x:f>B11*1000/C11</x:f>
        <x:v>9.965618421591927</x:v>
      </x:c>
      <x:c r="F11" t="n">
        <x:f>D11/$D$8*100</x:f>
        <x:v>80.27375201288245</x:v>
      </x:c>
      <x:c r="G11" s="224" t="n">
        <x:f>1-D11/$D$8</x:f>
        <x:v>0.1972624798711755</x:v>
      </x:c>
      <x:c r="H11" t="inlineStr">
        <x:is>
          <x:t xml:space="preserve">EIA T1.7 + BEA GDPCA</x:t>
        </x:is>
      </x:c>
    </x:row>
    <x:row r="12">
      <x:c r="A12" t="n">
        <x:v>1982</x:v>
      </x:c>
      <x:c r="B12" s="225" t="n">
        <x:v>70.812</x:v>
      </x:c>
      <x:c r="C12" s="225" t="n">
        <x:v>7307.314</x:v>
      </x:c>
      <x:c r="D12" s="225" t="n">
        <x:v>9.69</x:v>
      </x:c>
      <x:c r="E12" t="n">
        <x:f>B12*1000/C12</x:f>
        <x:v>9.690564823134737</x:v>
      </x:c>
      <x:c r="F12" t="n">
        <x:f>D12/$D$8*100</x:f>
        <x:v>78.01932367149757</x:v>
      </x:c>
      <x:c r="G12" s="224" t="n">
        <x:f>1-D12/$D$8</x:f>
        <x:v>0.21980676328502424</x:v>
      </x:c>
      <x:c r="H12" t="inlineStr">
        <x:is>
          <x:t xml:space="preserve">EIA T1.7 + BEA GDPCA</x:t>
        </x:is>
      </x:c>
    </x:row>
    <x:row r="13">
      <x:c r="A13" t="n">
        <x:v>1983</x:v>
      </x:c>
      <x:c r="B13" s="225" t="n">
        <x:v>70.489</x:v>
      </x:c>
      <x:c r="C13" s="225" t="n">
        <x:v>7642.266</x:v>
      </x:c>
      <x:c r="D13" s="225" t="n">
        <x:v>9.220000000000001</x:v>
      </x:c>
      <x:c r="E13" t="n">
        <x:f>B13*1000/C13</x:f>
        <x:v>9.223573217681771</x:v>
      </x:c>
      <x:c r="F13" t="n">
        <x:f>D13/$D$8*100</x:f>
        <x:v>74.23510466988729</x:v>
      </x:c>
      <x:c r="G13" s="224" t="n">
        <x:f>1-D13/$D$8</x:f>
        <x:v>0.25764895330112714</x:v>
      </x:c>
      <x:c r="H13" t="inlineStr">
        <x:is>
          <x:t xml:space="preserve">EIA T1.7 + BEA GDPCA</x:t>
        </x:is>
      </x:c>
    </x:row>
    <x:row r="14">
      <x:c r="A14" t="n">
        <x:v>1984</x:v>
      </x:c>
      <x:c r="B14" s="225" t="n">
        <x:v>74.23699999999999</x:v>
      </x:c>
      <x:c r="C14" s="225" t="n">
        <x:v>8195.295</x:v>
      </x:c>
      <x:c r="D14" s="225" t="n">
        <x:v>9.06</x:v>
      </x:c>
      <x:c r="E14" t="n">
        <x:f>B14*1000/C14</x:f>
        <x:v>9.058490267891516</x:v>
      </x:c>
      <x:c r="F14" t="n">
        <x:f>D14/$D$8*100</x:f>
        <x:v>72.94685990338165</x:v>
      </x:c>
      <x:c r="G14" s="224" t="n">
        <x:f>1-D14/$D$8</x:f>
        <x:v>0.27053140096618356</x:v>
      </x:c>
      <x:c r="H14" t="inlineStr">
        <x:is>
          <x:t xml:space="preserve">EIA T1.7 + BEA GDPCA</x:t>
        </x:is>
      </x:c>
    </x:row>
    <x:row r="15">
      <x:c r="A15" t="n">
        <x:v>1985</x:v>
      </x:c>
      <x:c r="B15" s="225" t="n">
        <x:v>74.268</x:v>
      </x:c>
      <x:c r="C15" s="225" t="n">
        <x:v>8537.004000000001</x:v>
      </x:c>
      <x:c r="D15" s="225" t="n">
        <x:v>8.699999999999999</x:v>
      </x:c>
      <x:c r="E15" t="n">
        <x:f>B15*1000/C15</x:f>
        <x:v>8.699539088888795</x:v>
      </x:c>
      <x:c r="F15" t="n">
        <x:f>D15/$D$8*100</x:f>
        <x:v>70.04830917874396</x:v>
      </x:c>
      <x:c r="G15" s="224" t="n">
        <x:f>1-D15/$D$8</x:f>
        <x:v>0.2995169082125604</x:v>
      </x:c>
      <x:c r="H15" t="inlineStr">
        <x:is>
          <x:t xml:space="preserve">EIA T1.7 + BEA GDPCA</x:t>
        </x:is>
      </x:c>
    </x:row>
    <x:row r="16">
      <x:c r="A16" t="n">
        <x:v>1986</x:v>
      </x:c>
      <x:c r="B16" s="225" t="n">
        <x:v>74.458</x:v>
      </x:c>
      <x:c r="C16" s="225" t="n">
        <x:v>8832.611000000001</x:v>
      </x:c>
      <x:c r="D16" s="225" t="n">
        <x:v>8.43</x:v>
      </x:c>
      <x:c r="E16" t="n">
        <x:f>B16*1000/C16</x:f>
        <x:v>8.429896890058895</x:v>
      </x:c>
      <x:c r="F16" t="n">
        <x:f>D16/$D$8*100</x:f>
        <x:v>67.8743961352657</x:v>
      </x:c>
      <x:c r="G16" s="224" t="n">
        <x:f>1-D16/$D$8</x:f>
        <x:v>0.321256038647343</x:v>
      </x:c>
      <x:c r="H16" t="inlineStr">
        <x:is>
          <x:t xml:space="preserve">EIA T1.7 + BEA GDPCA</x:t>
        </x:is>
      </x:c>
    </x:row>
    <x:row r="17">
      <x:c r="A17" t="n">
        <x:v>1987</x:v>
      </x:c>
      <x:c r="B17" s="225" t="n">
        <x:v>77.161</x:v>
      </x:c>
      <x:c r="C17" s="225" t="n">
        <x:v>9137.745000000001</x:v>
      </x:c>
      <x:c r="D17" s="225" t="n">
        <x:v>8.44</x:v>
      </x:c>
      <x:c r="E17" t="n">
        <x:f>B17*1000/C17</x:f>
        <x:v>8.444205873549764</x:v>
      </x:c>
      <x:c r="F17" t="n">
        <x:f>D17/$D$8*100</x:f>
        <x:v>67.9549114331723</x:v>
      </x:c>
      <x:c r="G17" s="224" t="n">
        <x:f>1-D17/$D$8</x:f>
        <x:v>0.32045088566827706</x:v>
      </x:c>
      <x:c r="H17" t="inlineStr">
        <x:is>
          <x:t xml:space="preserve">EIA T1.7 + BEA GDPCA</x:t>
        </x:is>
      </x:c>
    </x:row>
    <x:row r="18">
      <x:c r="A18" t="n">
        <x:v>1988</x:v>
      </x:c>
      <x:c r="B18" s="225" t="n">
        <x:v>81.02500000000001</x:v>
      </x:c>
      <x:c r="C18" s="225" t="n">
        <x:v>9519.427</x:v>
      </x:c>
      <x:c r="D18" s="225" t="n">
        <x:v>8.51</x:v>
      </x:c>
      <x:c r="E18" t="n">
        <x:f>B18*1000/C18</x:f>
        <x:v>8.511541713592635</x:v>
      </x:c>
      <x:c r="F18" t="n">
        <x:f>D18/$D$8*100</x:f>
        <x:v>68.5185185185185</x:v>
      </x:c>
      <x:c r="G18" s="224" t="n">
        <x:f>1-D18/$D$8</x:f>
        <x:v>0.3148148148148149</x:v>
      </x:c>
      <x:c r="H18" t="inlineStr">
        <x:is>
          <x:t xml:space="preserve">EIA T1.7 + BEA GDPCA</x:t>
        </x:is>
      </x:c>
    </x:row>
    <x:row r="19">
      <x:c r="A19" t="n">
        <x:v>1989</x:v>
      </x:c>
      <x:c r="B19" s="225" t="n">
        <x:v>82.711</x:v>
      </x:c>
      <x:c r="C19" s="225" t="n">
        <x:v>9869.003000000001</x:v>
      </x:c>
      <x:c r="D19" s="225" t="n">
        <x:v>8.380000000000001</x:v>
      </x:c>
      <x:c r="E19" t="n">
        <x:f>B19*1000/C19</x:f>
        <x:v>8.380887106833384</x:v>
      </x:c>
      <x:c r="F19" t="n">
        <x:f>D19/$D$8*100</x:f>
        <x:v>67.4718196457327</x:v>
      </x:c>
      <x:c r="G19" s="224" t="n">
        <x:f>1-D19/$D$8</x:f>
        <x:v>0.325281803542673</x:v>
      </x:c>
      <x:c r="H19" t="inlineStr">
        <x:is>
          <x:t xml:space="preserve">EIA T1.7 + BEA GDPCA</x:t>
        </x:is>
      </x:c>
    </x:row>
    <x:row r="20">
      <x:c r="A20" t="n">
        <x:v>1990</x:v>
      </x:c>
      <x:c r="B20" s="225" t="n">
        <x:v>82.256</x:v>
      </x:c>
      <x:c r="C20" s="225" t="n">
        <x:v>10055.129</x:v>
      </x:c>
      <x:c r="D20" s="225" t="n">
        <x:v>8.18</x:v>
      </x:c>
      <x:c r="E20" t="n">
        <x:f>B20*1000/C20</x:f>
        <x:v>8.180501712111301</x:v>
      </x:c>
      <x:c r="F20" t="n">
        <x:f>D20/$D$8*100</x:f>
        <x:v>65.86151368760063</x:v>
      </x:c>
      <x:c r="G20" s="224" t="n">
        <x:f>1-D20/$D$8</x:f>
        <x:v>0.34138486312399363</x:v>
      </x:c>
      <x:c r="H20" t="inlineStr">
        <x:is>
          <x:t xml:space="preserve">EIA T1.7 + BEA GDPCA</x:t>
        </x:is>
      </x:c>
    </x:row>
    <x:row r="21">
      <x:c r="A21" t="n">
        <x:v>1991</x:v>
      </x:c>
      <x:c r="B21" s="225" t="n">
        <x:v>82.214</x:v>
      </x:c>
      <x:c r="C21" s="225" t="n">
        <x:v>10044.238</x:v>
      </x:c>
      <x:c r="D21" s="225" t="n">
        <x:v>8.19</x:v>
      </x:c>
      <x:c r="E21" t="n">
        <x:f>B21*1000/C21</x:f>
        <x:v>8.18519035490796</x:v>
      </x:c>
      <x:c r="F21" t="n">
        <x:f>D21/$D$8*100</x:f>
        <x:v>65.94202898550724</x:v>
      </x:c>
      <x:c r="G21" s="224" t="n">
        <x:f>1-D21/$D$8</x:f>
        <x:v>0.3405797101449276</x:v>
      </x:c>
      <x:c r="H21" t="inlineStr">
        <x:is>
          <x:t xml:space="preserve">EIA T1.7 + BEA GDPCA</x:t>
        </x:is>
      </x:c>
    </x:row>
    <x:row r="22">
      <x:c r="A22" t="n">
        <x:v>1992</x:v>
      </x:c>
      <x:c r="B22" s="225" t="n">
        <x:v>83.836</x:v>
      </x:c>
      <x:c r="C22" s="225" t="n">
        <x:v>10398.046</x:v>
      </x:c>
      <x:c r="D22" s="225" t="n">
        <x:v>8.06</x:v>
      </x:c>
      <x:c r="E22" t="n">
        <x:f>B22*1000/C22</x:f>
        <x:v>8.06266869756106</x:v>
      </x:c>
      <x:c r="F22" t="n">
        <x:f>D22/$D$8*100</x:f>
        <x:v>64.89533011272141</x:v>
      </x:c>
      <x:c r="G22" s="224" t="n">
        <x:f>1-D22/$D$8</x:f>
        <x:v>0.35104669887278583</x:v>
      </x:c>
      <x:c r="H22" t="inlineStr">
        <x:is>
          <x:t xml:space="preserve">EIA T1.7 + BEA GDPCA</x:t>
        </x:is>
      </x:c>
    </x:row>
    <x:row r="23">
      <x:c r="A23" t="n">
        <x:v>1993</x:v>
      </x:c>
      <x:c r="B23" s="225" t="n">
        <x:v>85.191</x:v>
      </x:c>
      <x:c r="C23" s="225" t="n">
        <x:v>10684.179</x:v>
      </x:c>
      <x:c r="D23" s="225" t="n">
        <x:v>7.97</x:v>
      </x:c>
      <x:c r="E23" t="n">
        <x:f>B23*1000/C23</x:f>
        <x:v>7.973565399830909</x:v>
      </x:c>
      <x:c r="F23" t="n">
        <x:f>D23/$D$8*100</x:f>
        <x:v>64.17069243156199</x:v>
      </x:c>
      <x:c r="G23" s="224" t="n">
        <x:f>1-D23/$D$8</x:f>
        <x:v>0.35829307568438007</x:v>
      </x:c>
      <x:c r="H23" t="inlineStr">
        <x:is>
          <x:t xml:space="preserve">EIA T1.7 + BEA GDPCA</x:t>
        </x:is>
      </x:c>
    </x:row>
    <x:row r="24">
      <x:c r="A24" t="n">
        <x:v>1994</x:v>
      </x:c>
      <x:c r="B24" s="225" t="n">
        <x:v>87.053</x:v>
      </x:c>
      <x:c r="C24" s="225" t="n">
        <x:v>11114.647</x:v>
      </x:c>
      <x:c r="D24" s="225" t="n">
        <x:v>7.83</x:v>
      </x:c>
      <x:c r="E24" t="n">
        <x:f>B24*1000/C24</x:f>
        <x:v>7.832277534320252</x:v>
      </x:c>
      <x:c r="F24" t="n">
        <x:f>D24/$D$8*100</x:f>
        <x:v>63.04347826086957</x:v>
      </x:c>
      <x:c r="G24" s="224" t="n">
        <x:f>1-D24/$D$8</x:f>
        <x:v>0.3695652173913043</x:v>
      </x:c>
      <x:c r="H24" t="inlineStr">
        <x:is>
          <x:t xml:space="preserve">EIA T1.7 + BEA GDPCA</x:t>
        </x:is>
      </x:c>
    </x:row>
    <x:row r="25">
      <x:c r="A25" t="n">
        <x:v>1995</x:v>
      </x:c>
      <x:c r="B25" s="225" t="n">
        <x:v>88.66800000000001</x:v>
      </x:c>
      <x:c r="C25" s="225" t="n">
        <x:v>11413.012</x:v>
      </x:c>
      <x:c r="D25" s="225" t="n">
        <x:v>7.77</x:v>
      </x:c>
      <x:c r="E25" t="n">
        <x:f>B25*1000/C25</x:f>
        <x:v>7.769027142002479</x:v>
      </x:c>
      <x:c r="F25" t="n">
        <x:f>D25/$D$8*100</x:f>
        <x:v>62.56038647342995</x:v>
      </x:c>
      <x:c r="G25" s="224" t="n">
        <x:f>1-D25/$D$8</x:f>
        <x:v>0.3743961352657005</x:v>
      </x:c>
      <x:c r="H25" t="inlineStr">
        <x:is>
          <x:t xml:space="preserve">EIA T1.7 + BEA GDPCA</x:t>
        </x:is>
      </x:c>
    </x:row>
    <x:row r="26">
      <x:c r="A26" t="n">
        <x:v>1996</x:v>
      </x:c>
      <x:c r="B26" s="225" t="n">
        <x:v>91.404</x:v>
      </x:c>
      <x:c r="C26" s="225" t="n">
        <x:v>11843.599</x:v>
      </x:c>
      <x:c r="D26" s="225" t="n">
        <x:v>7.72</x:v>
      </x:c>
      <x:c r="E26" t="n">
        <x:f>B26*1000/C26</x:f>
        <x:v>7.71758652078646</x:v>
      </x:c>
      <x:c r="F26" t="n">
        <x:f>D26/$D$8*100</x:f>
        <x:v>62.15780998389694</x:v>
      </x:c>
      <x:c r="G26" s="224" t="n">
        <x:f>1-D26/$D$8</x:f>
        <x:v>0.3784219001610306</x:v>
      </x:c>
      <x:c r="H26" t="inlineStr">
        <x:is>
          <x:t xml:space="preserve">EIA T1.7 + BEA GDPCA</x:t>
        </x:is>
      </x:c>
    </x:row>
    <x:row r="27">
      <x:c r="A27" t="n">
        <x:v>1997</x:v>
      </x:c>
      <x:c r="B27" s="225" t="n">
        <x:v>91.956</x:v>
      </x:c>
      <x:c r="C27" s="225" t="n">
        <x:v>12370.299</x:v>
      </x:c>
      <x:c r="D27" s="225" t="n">
        <x:v>7.43</x:v>
      </x:c>
      <x:c r="E27" t="n">
        <x:f>B27*1000/C27</x:f>
        <x:v>7.433611750209109</x:v>
      </x:c>
      <x:c r="F27" t="n">
        <x:f>D27/$D$8*100</x:f>
        <x:v>59.82286634460547</x:v>
      </x:c>
      <x:c r="G27" s="224" t="n">
        <x:f>1-D27/$D$8</x:f>
        <x:v>0.40177133655394526</x:v>
      </x:c>
      <x:c r="H27" t="inlineStr">
        <x:is>
          <x:t xml:space="preserve">EIA T1.7 + BEA GDPCA</x:t>
        </x:is>
      </x:c>
    </x:row>
    <x:row r="28">
      <x:c r="A28" t="n">
        <x:v>1998</x:v>
      </x:c>
      <x:c r="B28" s="225" t="n">
        <x:v>92.602</x:v>
      </x:c>
      <x:c r="C28" s="225" t="n">
        <x:v>12924.876</x:v>
      </x:c>
      <x:c r="D28" s="225" t="n">
        <x:v>7.16</x:v>
      </x:c>
      <x:c r="E28" t="n">
        <x:f>B28*1000/C28</x:f>
        <x:v>7.164633533041245</x:v>
      </x:c>
      <x:c r="F28" t="n">
        <x:f>D28/$D$8*100</x:f>
        <x:v>57.648953301127214</x:v>
      </x:c>
      <x:c r="G28" s="224" t="n">
        <x:f>1-D28/$D$8</x:f>
        <x:v>0.42351046698872785</x:v>
      </x:c>
      <x:c r="H28" t="inlineStr">
        <x:is>
          <x:t xml:space="preserve">EIA T1.7 + BEA GDPCA</x:t>
        </x:is>
      </x:c>
    </x:row>
    <x:row r="29">
      <x:c r="A29" t="n">
        <x:v>1999</x:v>
      </x:c>
      <x:c r="B29" s="225" t="n">
        <x:v>94.232</x:v>
      </x:c>
      <x:c r="C29" s="225" t="n">
        <x:v>13543.774</x:v>
      </x:c>
      <x:c r="D29" s="225" t="n">
        <x:v>6.96</x:v>
      </x:c>
      <x:c r="E29" t="n">
        <x:f>B29*1000/C29</x:f>
        <x:v>6.957588040083953</x:v>
      </x:c>
      <x:c r="F29" t="n">
        <x:f>D29/$D$8*100</x:f>
        <x:v>56.038647342995176</x:v>
      </x:c>
      <x:c r="G29" s="224" t="n">
        <x:f>1-D29/$D$8</x:f>
        <x:v>0.43961352657004826</x:v>
      </x:c>
      <x:c r="H29" t="inlineStr">
        <x:is>
          <x:t xml:space="preserve">EIA T1.7 + BEA GDPCA</x:t>
        </x:is>
      </x:c>
    </x:row>
    <x:row r="30">
      <x:c r="A30" t="n">
        <x:v>2000</x:v>
      </x:c>
      <x:c r="B30" s="225" t="n">
        <x:v>96.694</x:v>
      </x:c>
      <x:c r="C30" s="225" t="n">
        <x:v>14096.033</x:v>
      </x:c>
      <x:c r="D30" s="225" t="n">
        <x:v>6.86</x:v>
      </x:c>
      <x:c r="E30" t="n">
        <x:f>B30*1000/C30</x:f>
        <x:v>6.859660444892546</x:v>
      </x:c>
      <x:c r="F30" t="n">
        <x:f>D30/$D$8*100</x:f>
        <x:v>55.23349436392915</x:v>
      </x:c>
      <x:c r="G30" s="224" t="n">
        <x:f>1-D30/$D$8</x:f>
        <x:v>0.4476650563607085</x:v>
      </x:c>
      <x:c r="H30" t="inlineStr">
        <x:is>
          <x:t xml:space="preserve">EIA T1.7 + BEA GDPCA</x:t>
        </x:is>
      </x:c>
    </x:row>
    <x:row r="31">
      <x:c r="A31" t="n">
        <x:v>2001</x:v>
      </x:c>
      <x:c r="B31" s="225" t="n">
        <x:v>94.416</x:v>
      </x:c>
      <x:c r="C31" s="225" t="n">
        <x:v>14230.726</x:v>
      </x:c>
      <x:c r="D31" s="225" t="n">
        <x:v>6.63</x:v>
      </x:c>
      <x:c r="E31" t="n">
        <x:f>B31*1000/C31</x:f>
        <x:v>6.6346579928529295</x:v>
      </x:c>
      <x:c r="F31" t="n">
        <x:f>D31/$D$8*100</x:f>
        <x:v>53.3816425120773</x:v>
      </x:c>
      <x:c r="G31" s="224" t="n">
        <x:f>1-D31/$D$8</x:f>
        <x:v>0.466183574879227</x:v>
      </x:c>
      <x:c r="H31" t="inlineStr">
        <x:is>
          <x:t xml:space="preserve">EIA T1.7 + BEA GDPCA</x:t>
        </x:is>
      </x:c>
    </x:row>
    <x:row r="32">
      <x:c r="A32" t="n">
        <x:v>2002</x:v>
      </x:c>
      <x:c r="B32" s="225" t="n">
        <x:v>95.575</x:v>
      </x:c>
      <x:c r="C32" s="225" t="n">
        <x:v>14472.712</x:v>
      </x:c>
      <x:c r="D32" s="225" t="n">
        <x:v>6.6</x:v>
      </x:c>
      <x:c r="E32" t="n">
        <x:f>B32*1000/C32</x:f>
        <x:v>6.603807220098072</x:v>
      </x:c>
      <x:c r="F32" t="n">
        <x:f>D32/$D$8*100</x:f>
        <x:v>53.14009661835749</x:v>
      </x:c>
      <x:c r="G32" s="224" t="n">
        <x:f>1-D32/$D$8</x:f>
        <x:v>0.4685990338164251</x:v>
      </x:c>
      <x:c r="H32" t="inlineStr">
        <x:is>
          <x:t xml:space="preserve">EIA T1.7 + BEA GDPCA</x:t>
        </x:is>
      </x:c>
    </x:row>
    <x:row r="33">
      <x:c r="A33" t="n">
        <x:v>2003</x:v>
      </x:c>
      <x:c r="B33" s="225" t="n">
        <x:v>95.806</x:v>
      </x:c>
      <x:c r="C33" s="225" t="n">
        <x:v>14877.312</x:v>
      </x:c>
      <x:c r="D33" s="225" t="n">
        <x:v>6.44</x:v>
      </x:c>
      <x:c r="E33" t="n">
        <x:f>B33*1000/C33</x:f>
        <x:v>6.4397385764310116</x:v>
      </x:c>
      <x:c r="F33" t="n">
        <x:f>D33/$D$8*100</x:f>
        <x:v>51.85185185185186</x:v>
      </x:c>
      <x:c r="G33" s="224" t="n">
        <x:f>1-D33/$D$8</x:f>
        <x:v>0.4814814814814814</x:v>
      </x:c>
      <x:c r="H33" t="inlineStr">
        <x:is>
          <x:t xml:space="preserve">EIA T1.7 + BEA GDPCA</x:t>
        </x:is>
      </x:c>
    </x:row>
    <x:row r="34">
      <x:c r="A34" t="n">
        <x:v>2004</x:v>
      </x:c>
      <x:c r="B34" s="225" t="n">
        <x:v>98.033</x:v>
      </x:c>
      <x:c r="C34" s="225" t="n">
        <x:v>15449.757</x:v>
      </x:c>
      <x:c r="D34" s="225" t="n">
        <x:v>6.35</x:v>
      </x:c>
      <x:c r="E34" t="n">
        <x:f>B34*1000/C34</x:f>
        <x:v>6.345277793042311</x:v>
      </x:c>
      <x:c r="F34" t="n">
        <x:f>D34/$D$8*100</x:f>
        <x:v>51.127214170692426</x:v>
      </x:c>
      <x:c r="G34" s="224" t="n">
        <x:f>1-D34/$D$8</x:f>
        <x:v>0.48872785829307575</x:v>
      </x:c>
      <x:c r="H34" t="inlineStr">
        <x:is>
          <x:t xml:space="preserve">EIA T1.7 + BEA GDPCA</x:t>
        </x:is>
      </x:c>
    </x:row>
    <x:row r="35">
      <x:c r="A35" t="n">
        <x:v>2005</x:v>
      </x:c>
      <x:c r="B35" s="225" t="n">
        <x:v>98.101</x:v>
      </x:c>
      <x:c r="C35" s="225" t="n">
        <x:v>15987.957</x:v>
      </x:c>
      <x:c r="D35" s="225" t="n">
        <x:v>6.14</x:v>
      </x:c>
      <x:c r="E35" t="n">
        <x:f>B35*1000/C35</x:f>
        <x:v>6.135930938518285</x:v>
      </x:c>
      <x:c r="F35" t="n">
        <x:f>D35/$D$8*100</x:f>
        <x:v>49.43639291465378</x:v>
      </x:c>
      <x:c r="G35" s="224" t="n">
        <x:f>1-D35/$D$8</x:f>
        <x:v>0.5056360708534622</x:v>
      </x:c>
      <x:c r="H35" t="inlineStr">
        <x:is>
          <x:t xml:space="preserve">EIA T1.7 + BEA GDPCA</x:t>
        </x:is>
      </x:c>
    </x:row>
    <x:row r="36">
      <x:c r="A36" t="n">
        <x:v>2006</x:v>
      </x:c>
      <x:c r="B36" s="225" t="n">
        <x:v>97.235</x:v>
      </x:c>
      <x:c r="C36" s="225" t="n">
        <x:v>16433.148</x:v>
      </x:c>
      <x:c r="D36" s="225" t="n">
        <x:v>5.92</x:v>
      </x:c>
      <x:c r="E36" t="n">
        <x:f>B36*1000/C36</x:f>
        <x:v>5.917003850996777</x:v>
      </x:c>
      <x:c r="F36" t="n">
        <x:f>D36/$D$8*100</x:f>
        <x:v>47.66505636070853</x:v>
      </x:c>
      <x:c r="G36" s="224" t="n">
        <x:f>1-D36/$D$8</x:f>
        <x:v>0.5233494363929146</x:v>
      </x:c>
      <x:c r="H36" t="inlineStr">
        <x:is>
          <x:t xml:space="preserve">EIA T1.7 + BEA GDPCA</x:t>
        </x:is>
      </x:c>
    </x:row>
    <x:row r="37">
      <x:c r="A37" t="n">
        <x:v>2007</x:v>
      </x:c>
      <x:c r="B37" s="225" t="n">
        <x:v>98.965</x:v>
      </x:c>
      <x:c r="C37" s="225" t="n">
        <x:v>16762.445</x:v>
      </x:c>
      <x:c r="D37" s="225" t="n">
        <x:v>5.9</x:v>
      </x:c>
      <x:c r="E37" t="n">
        <x:f>B37*1000/C37</x:f>
        <x:v>5.903971646141121</x:v>
      </x:c>
      <x:c r="F37" t="n">
        <x:f>D37/$D$8*100</x:f>
        <x:v>47.50402576489534</x:v>
      </x:c>
      <x:c r="G37" s="224" t="n">
        <x:f>1-D37/$D$8</x:f>
        <x:v>0.5249597423510466</x:v>
      </x:c>
      <x:c r="H37" t="inlineStr">
        <x:is>
          <x:t xml:space="preserve">EIA T1.7 + BEA GDPCA</x:t>
        </x:is>
      </x:c>
    </x:row>
    <x:row r="38">
      <x:c r="A38" t="n">
        <x:v>2008</x:v>
      </x:c>
      <x:c r="B38" s="225" t="n">
        <x:v>96.64700000000001</x:v>
      </x:c>
      <x:c r="C38" s="225" t="n">
        <x:v>16781.485</x:v>
      </x:c>
      <x:c r="D38" s="225" t="n">
        <x:v>5.76</x:v>
      </x:c>
      <x:c r="E38" t="n">
        <x:f>B38*1000/C38</x:f>
        <x:v>5.759144676409745</x:v>
      </x:c>
      <x:c r="F38" t="n">
        <x:f>D38/$D$8*100</x:f>
        <x:v>46.3768115942029</x:v>
      </x:c>
      <x:c r="G38" s="224" t="n">
        <x:f>1-D38/$D$8</x:f>
        <x:v>0.536231884057971</x:v>
      </x:c>
      <x:c r="H38" t="inlineStr">
        <x:is>
          <x:t xml:space="preserve">EIA T1.7 + BEA GDPCA</x:t>
        </x:is>
      </x:c>
    </x:row>
    <x:row r="39">
      <x:c r="A39" t="n">
        <x:v>2009</x:v>
      </x:c>
      <x:c r="B39" s="225" t="n">
        <x:v>91.626</x:v>
      </x:c>
      <x:c r="C39" s="225" t="n">
        <x:v>16349.11</x:v>
      </x:c>
      <x:c r="D39" s="225" t="n">
        <x:v>5.6</x:v>
      </x:c>
      <x:c r="E39" t="n">
        <x:f>B39*1000/C39</x:f>
        <x:v>5.604341765392734</x:v>
      </x:c>
      <x:c r="F39" t="n">
        <x:f>D39/$D$8*100</x:f>
        <x:v>45.08856682769726</x:v>
      </x:c>
      <x:c r="G39" s="224" t="n">
        <x:f>1-D39/$D$8</x:f>
        <x:v>0.5491143317230274</x:v>
      </x:c>
      <x:c r="H39" t="inlineStr">
        <x:is>
          <x:t xml:space="preserve">EIA T1.7 + BEA GDPCA</x:t>
        </x:is>
      </x:c>
    </x:row>
    <x:row r="40">
      <x:c r="A40" t="n">
        <x:v>2010</x:v>
      </x:c>
      <x:c r="B40" s="225" t="n">
        <x:v>95.142</x:v>
      </x:c>
      <x:c r="C40" s="225" t="n">
        <x:v>16789.75</x:v>
      </x:c>
      <x:c r="D40" s="225" t="n">
        <x:v>5.67</x:v>
      </x:c>
      <x:c r="E40" t="n">
        <x:f>B40*1000/C40</x:f>
        <x:v>5.666671630012359</x:v>
      </x:c>
      <x:c r="F40" t="n">
        <x:f>D40/$D$8*100</x:f>
        <x:v>45.65217391304348</x:v>
      </x:c>
      <x:c r="G40" s="224" t="n">
        <x:f>1-D40/$D$8</x:f>
        <x:v>0.5434782608695652</x:v>
      </x:c>
      <x:c r="H40" t="inlineStr">
        <x:is>
          <x:t xml:space="preserve">EIA T1.7 + BEA GDPCA</x:t>
        </x:is>
      </x:c>
    </x:row>
    <x:row r="41">
      <x:c r="A41" t="n">
        <x:v>2011</x:v>
      </x:c>
      <x:c r="B41" s="225" t="n">
        <x:v>93.967</x:v>
      </x:c>
      <x:c r="C41" s="225" t="n">
        <x:v>17052.41</x:v>
      </x:c>
      <x:c r="D41" s="225" t="n">
        <x:v>5.51</x:v>
      </x:c>
      <x:c r="E41" t="n">
        <x:f>B41*1000/C41</x:f>
        <x:v>5.510482096079088</x:v>
      </x:c>
      <x:c r="F41" t="n">
        <x:f>D41/$D$8*100</x:f>
        <x:v>44.36392914653784</x:v>
      </x:c>
      <x:c r="G41" s="224" t="n">
        <x:f>1-D41/$D$8</x:f>
        <x:v>0.5563607085346216</x:v>
      </x:c>
      <x:c r="H41" t="inlineStr">
        <x:is>
          <x:t xml:space="preserve">EIA T1.7 + BEA GDPCA</x:t>
        </x:is>
      </x:c>
    </x:row>
    <x:row r="42">
      <x:c r="A42" t="n">
        <x:v>2012</x:v>
      </x:c>
      <x:c r="B42" s="225" t="n">
        <x:v>91.678</x:v>
      </x:c>
      <x:c r="C42" s="225" t="n">
        <x:v>17442.759</x:v>
      </x:c>
      <x:c r="D42" s="225" t="n">
        <x:v>5.26</x:v>
      </x:c>
      <x:c r="E42" t="n">
        <x:f>B42*1000/C42</x:f>
        <x:v>5.255934568608097</x:v>
      </x:c>
      <x:c r="F42" t="n">
        <x:f>D42/$D$8*100</x:f>
        <x:v>42.351046698872786</x:v>
      </x:c>
      <x:c r="G42" s="224" t="n">
        <x:f>1-D42/$D$8</x:f>
        <x:v>0.5764895330112721</x:v>
      </x:c>
      <x:c r="H42" t="inlineStr">
        <x:is>
          <x:t xml:space="preserve">EIA T1.7 + BEA GDPCA</x:t>
        </x:is>
      </x:c>
    </x:row>
    <x:row r="43">
      <x:c r="A43" t="n">
        <x:v>2013</x:v>
      </x:c>
      <x:c r="B43" s="225" t="n">
        <x:v>94.253</x:v>
      </x:c>
      <x:c r="C43" s="225" t="n">
        <x:v>17812.167</x:v>
      </x:c>
      <x:c r="D43" s="225" t="n">
        <x:v>5.29</x:v>
      </x:c>
      <x:c r="E43" t="n">
        <x:f>B43*1000/C43</x:f>
        <x:v>5.291495414342342</x:v>
      </x:c>
      <x:c r="F43" t="n">
        <x:f>D43/$D$8*100</x:f>
        <x:v>42.592592592592595</x:v>
      </x:c>
      <x:c r="G43" s="224" t="n">
        <x:f>1-D43/$D$8</x:f>
        <x:v>0.5740740740740741</x:v>
      </x:c>
      <x:c r="H43" t="inlineStr">
        <x:is>
          <x:t xml:space="preserve">EIA T1.7 + BEA GDPCA</x:t>
        </x:is>
      </x:c>
    </x:row>
    <x:row r="44">
      <x:c r="A44" t="n">
        <x:v>2014</x:v>
      </x:c>
      <x:c r="B44" s="225" t="n">
        <x:v>95.33199999999999</x:v>
      </x:c>
      <x:c r="C44" s="225" t="n">
        <x:v>18261.714</x:v>
      </x:c>
      <x:c r="D44" s="225" t="n">
        <x:v>5.22</x:v>
      </x:c>
      <x:c r="E44" t="n">
        <x:f>B44*1000/C44</x:f>
        <x:v>5.220320502226681</x:v>
      </x:c>
      <x:c r="F44" t="n">
        <x:f>D44/$D$8*100</x:f>
        <x:v>42.028985507246375</x:v>
      </x:c>
      <x:c r="G44" s="224" t="n">
        <x:f>1-D44/$D$8</x:f>
        <x:v>0.5797101449275363</x:v>
      </x:c>
      <x:c r="H44" t="inlineStr">
        <x:is>
          <x:t xml:space="preserve">EIA T1.7 + BEA GDPCA</x:t>
        </x:is>
      </x:c>
    </x:row>
    <x:row r="45">
      <x:c r="A45" t="n">
        <x:v>2015</x:v>
      </x:c>
      <x:c r="B45" s="225" t="n">
        <x:v>94.47799999999999</x:v>
      </x:c>
      <x:c r="C45" s="225" t="n">
        <x:v>18799.622</x:v>
      </x:c>
      <x:c r="D45" s="225" t="n">
        <x:v>5.03</x:v>
      </x:c>
      <x:c r="E45" t="n">
        <x:f>B45*1000/C45</x:f>
        <x:v>5.025526577076922</x:v>
      </x:c>
      <x:c r="F45" t="n">
        <x:f>D45/$D$8*100</x:f>
        <x:v>40.49919484702094</x:v>
      </x:c>
      <x:c r="G45" s="224" t="n">
        <x:f>1-D45/$D$8</x:f>
        <x:v>0.5950080515297906</x:v>
      </x:c>
      <x:c r="H45" t="inlineStr">
        <x:is>
          <x:t xml:space="preserve">EIA T1.7 + BEA GDPCA</x:t>
        </x:is>
      </x:c>
    </x:row>
    <x:row r="46">
      <x:c r="A46" t="n">
        <x:v>2016</x:v>
      </x:c>
      <x:c r="B46" s="225" t="n">
        <x:v>94.084</x:v>
      </x:c>
      <x:c r="C46" s="225" t="n">
        <x:v>19141.672</x:v>
      </x:c>
      <x:c r="D46" s="225" t="n">
        <x:v>4.92</x:v>
      </x:c>
      <x:c r="E46" t="n">
        <x:f>B46*1000/C46</x:f>
        <x:v>4.9151401194211255</x:v>
      </x:c>
      <x:c r="F46" t="n">
        <x:f>D46/$D$8*100</x:f>
        <x:v>39.61352657004831</x:v>
      </x:c>
      <x:c r="G46" s="224" t="n">
        <x:f>1-D46/$D$8</x:f>
        <x:v>0.6038647342995169</x:v>
      </x:c>
      <x:c r="H46" t="inlineStr">
        <x:is>
          <x:t xml:space="preserve">EIA T1.7 + BEA GDPCA</x:t>
        </x:is>
      </x:c>
    </x:row>
    <x:row r="47">
      <x:c r="A47" t="n">
        <x:v>2017</x:v>
      </x:c>
      <x:c r="B47" s="225" t="n">
        <x:v>93.889</x:v>
      </x:c>
      <x:c r="C47" s="225" t="n">
        <x:v>19612.102</x:v>
      </x:c>
      <x:c r="D47" s="225" t="n">
        <x:v>4.79</x:v>
      </x:c>
      <x:c r="E47" t="n">
        <x:f>B47*1000/C47</x:f>
        <x:v>4.787299189041542</x:v>
      </x:c>
      <x:c r="F47" t="n">
        <x:f>D47/$D$8*100</x:f>
        <x:v>38.56682769726248</x:v>
      </x:c>
      <x:c r="G47" s="224" t="n">
        <x:f>1-D47/$D$8</x:f>
        <x:v>0.6143317230273753</x:v>
      </x:c>
      <x:c r="H47" t="inlineStr">
        <x:is>
          <x:t xml:space="preserve">EIA T1.7 + BEA GDPCA</x:t>
        </x:is>
      </x:c>
    </x:row>
    <x:row r="48">
      <x:c r="A48" t="n">
        <x:v>2018</x:v>
      </x:c>
      <x:c r="B48" s="225" t="n">
        <x:v>97.40000000000001</x:v>
      </x:c>
      <x:c r="C48" s="225" t="n">
        <x:v>20193.896</x:v>
      </x:c>
      <x:c r="D48" s="225" t="n">
        <x:v>4.82</x:v>
      </x:c>
      <x:c r="E48" t="n">
        <x:f>B48*1000/C48</x:f>
        <x:v>4.823239656181253</x:v>
      </x:c>
      <x:c r="F48" t="n">
        <x:f>D48/$D$8*100</x:f>
        <x:v>38.808373590982285</x:v>
      </x:c>
      <x:c r="G48" s="224" t="n">
        <x:f>1-D48/$D$8</x:f>
        <x:v>0.6119162640901772</x:v>
      </x:c>
      <x:c r="H48" t="inlineStr">
        <x:is>
          <x:t xml:space="preserve">EIA T1.7 + BEA GDPCA</x:t>
        </x:is>
      </x:c>
    </x:row>
    <x:row r="49">
      <x:c r="A49" t="n">
        <x:v>2019</x:v>
      </x:c>
      <x:c r="B49" s="225" t="n">
        <x:v>96.59999999999999</x:v>
      </x:c>
      <x:c r="C49" s="225" t="n">
        <x:v>20715.671</x:v>
      </x:c>
      <x:c r="D49" s="225" t="n">
        <x:v>4.66</x:v>
      </x:c>
      <x:c r="E49" t="n">
        <x:f>B49*1000/C49</x:f>
        <x:v>4.66313642459373</x:v>
      </x:c>
      <x:c r="F49" t="n">
        <x:f>D49/$D$8*100</x:f>
        <x:v>37.52012882447665</x:v>
      </x:c>
      <x:c r="G49" s="224" t="n">
        <x:f>1-D49/$D$8</x:f>
        <x:v>0.6247987117552335</x:v>
      </x:c>
      <x:c r="H49" t="inlineStr">
        <x:is>
          <x:t xml:space="preserve">EIA T1.7 + BEA GDPCA</x:t>
        </x:is>
      </x:c>
    </x:row>
    <x:row r="50">
      <x:c r="A50" t="n">
        <x:v>2020</x:v>
      </x:c>
      <x:c r="B50" s="225" t="n">
        <x:v>88.877</x:v>
      </x:c>
      <x:c r="C50" s="225" t="n">
        <x:v>20284.5</x:v>
      </x:c>
      <x:c r="D50" s="225" t="n">
        <x:v>4.38</x:v>
      </x:c>
      <x:c r="E50" t="n">
        <x:f>B50*1000/C50</x:f>
        <x:v>4.381522837634647</x:v>
      </x:c>
      <x:c r="F50" t="n">
        <x:f>D50/$D$8*100</x:f>
        <x:v>35.26570048309179</x:v>
      </x:c>
      <x:c r="G50" s="224" t="n">
        <x:f>1-D50/$D$8</x:f>
        <x:v>0.6473429951690821</x:v>
      </x:c>
      <x:c r="H50" t="inlineStr">
        <x:is>
          <x:t xml:space="preserve">EIA T1.7 + BEA GDPCA</x:t>
        </x:is>
      </x:c>
    </x:row>
    <x:row r="51">
      <x:c r="A51" t="n">
        <x:v>2021</x:v>
      </x:c>
      <x:c r="B51" s="225" t="n">
        <x:v>93.375</x:v>
      </x:c>
      <x:c r="C51" s="225" t="n">
        <x:v>21556.002</x:v>
      </x:c>
      <x:c r="D51" s="225" t="n">
        <x:v>4.34</x:v>
      </x:c>
      <x:c r="E51" t="n">
        <x:f>B51*1000/C51</x:f>
        <x:v>4.331740180762647</x:v>
      </x:c>
      <x:c r="F51" t="n">
        <x:f>D51/$D$8*100</x:f>
        <x:v>34.94363929146538</x:v>
      </x:c>
      <x:c r="G51" s="224" t="n">
        <x:f>1-D51/$D$8</x:f>
        <x:v>0.6505636070853462</x:v>
      </x:c>
      <x:c r="H51" t="inlineStr">
        <x:is>
          <x:t xml:space="preserve">EIA T1.7 + BEA GDPCA</x:t>
        </x:is>
      </x:c>
    </x:row>
    <x:row r="52">
      <x:c r="A52" t="n">
        <x:v>2022</x:v>
      </x:c>
      <x:c r="B52" s="225" t="n">
        <x:v>94.964</x:v>
      </x:c>
      <x:c r="C52" s="225" t="n">
        <x:v>22079.726</x:v>
      </x:c>
      <x:c r="D52" s="225" t="n">
        <x:v>4.3</x:v>
      </x:c>
      <x:c r="E52" t="n">
        <x:f>B52*1000/C52</x:f>
        <x:v>4.300959169511433</x:v>
      </x:c>
      <x:c r="F52" t="n">
        <x:f>D52/$D$8*100</x:f>
        <x:v>34.62157809983897</x:v>
      </x:c>
      <x:c r="G52" s="224" t="n">
        <x:f>1-D52/$D$8</x:f>
        <x:v>0.6537842190016103</x:v>
      </x:c>
      <x:c r="H52" t="inlineStr">
        <x:is>
          <x:t xml:space="preserve">EIA T1.7 + BEA GDPCA</x:t>
        </x:is>
      </x:c>
    </x:row>
    <x:row r="53">
      <x:c r="A53" t="n">
        <x:v>2023</x:v>
      </x:c>
      <x:c r="B53" s="225" t="n">
        <x:v>93.746</x:v>
      </x:c>
      <x:c r="C53" s="225" t="n">
        <x:v>22724.135</x:v>
      </x:c>
      <x:c r="D53" s="225" t="n">
        <x:v>4.13</x:v>
      </x:c>
      <x:c r="E53" t="n">
        <x:f>B53*1000/C53</x:f>
        <x:v>4.125393551833766</x:v>
      </x:c>
      <x:c r="F53" t="n">
        <x:f>D53/$D$8*100</x:f>
        <x:v>33.25281803542673</x:v>
      </x:c>
      <x:c r="G53" s="224" t="n">
        <x:f>1-D53/$D$8</x:f>
        <x:v>0.6674718196457328</x:v>
      </x:c>
      <x:c r="H53" t="inlineStr">
        <x:is>
          <x:t xml:space="preserve">EIA T1.7 + BEA GDPCA</x:t>
        </x:is>
      </x:c>
    </x:row>
    <x:row r="54">
      <x:c r="A54" t="n">
        <x:v>2024</x:v>
      </x:c>
      <x:c r="B54" s="225" t="n">
        <x:v>94.58199999999999</x:v>
      </x:c>
      <x:c r="C54" s="225" t="n">
        <x:v>23394.892</x:v>
      </x:c>
      <x:c r="D54" s="225" t="n">
        <x:v>4.05</x:v>
      </x:c>
      <x:c r="E54" t="n">
        <x:f>B54*1000/C54</x:f>
        <x:v>4.042848327746074</x:v>
      </x:c>
      <x:c r="F54" t="n">
        <x:f>D54/$D$8*100</x:f>
        <x:v>32.608695652173914</x:v>
      </x:c>
      <x:c r="G54" s="224" t="n">
        <x:f>1-D54/$D$8</x:f>
        <x:v>0.6739130434782609</x:v>
      </x:c>
      <x:c r="H54" t="inlineStr">
        <x:is>
          <x:t xml:space="preserve">EIA T1.7 + BEA GDPCA</x:t>
        </x:is>
      </x:c>
    </x:row>
    <x:row r="55">
      <x:c r="A55" t="n">
        <x:v>2025</x:v>
      </x:c>
      <x:c r="B55" s="225" t="n">
        <x:v>96.256</x:v>
      </x:c>
      <x:c r="C55" s="225" t="n">
        <x:v>23943.305</x:v>
      </x:c>
      <x:c r="D55" s="225" t="n">
        <x:v>4.04</x:v>
      </x:c>
      <x:c r="E55" t="n">
        <x:f>B55*1000/C55</x:f>
        <x:v>4.0201634653194285</x:v>
      </x:c>
      <x:c r="F55" t="n">
        <x:f>D55/$D$8*100</x:f>
        <x:v>32.52818035426731</x:v>
      </x:c>
      <x:c r="G55" s="224" t="n">
        <x:f>1-D55/$D$8</x:f>
        <x:v>0.6747181964573269</x:v>
      </x:c>
      <x:c r="H55" t="inlineStr">
        <x:is>
          <x:t xml:space="preserve">EIA T1.7 + BEA GDPCA</x:t>
        </x:is>
      </x:c>
    </x:row>
  </x:sheetData>
  <x:mergeCells>
    <x:mergeCell ref="A1:H2"/>
    <x:mergeCell ref="A3:H3"/>
  </x:mergeCells>
  <x:pageMargins left="0.7" right="0.7" top="0.75" bottom="0.75" header="0.3" footer="0.3"/>
  <x:drawing xmlns:r="http://schemas.openxmlformats.org/officeDocument/2006/relationships" r:id="Rd5be3a9766a84221"/>
</x:worksheet>
</file>

<file path=xl/worksheets/sheet3.xml><?xml version="1.0" encoding="utf-8"?>
<x:worksheet xmlns:x="http://schemas.openxmlformats.org/spreadsheetml/2006/main">
  <x:sheetFormatPr baseColWidth="8" defaultRowHeight="15"/>
  <x:cols>
    <x:col min="1" max="1" width="12" style="204" customWidth="1"/>
    <x:col min="2" max="2" width="25" style="204" customWidth="1"/>
    <x:col min="3" max="3" width="23" style="204" customWidth="1"/>
    <x:col min="4" max="4" width="23" style="204" customWidth="1"/>
    <x:col min="5" max="5" width="16" style="204" customWidth="1"/>
    <x:col min="6" max="6" width="20" style="204" customWidth="1"/>
    <x:col min="7" max="7" width="19" style="204" customWidth="1"/>
    <x:col min="8" max="8" width="25" style="204" customWidth="1"/>
  </x:cols>
  <x:sheetData>
    <x:row r="1" s="204" customFormat="1" ht="24" customHeight="1">
      <x:c r="A1" s="7" t="inlineStr">
        <x:is>
          <x:t xml:space="preserve">02 | PETROLEUM CONSUMPTION PER REAL GDP</x:t>
        </x:is>
      </x:c>
      <x:c r="B1" s="1" t="n"/>
      <x:c r="C1" s="1" t="n"/>
      <x:c r="D1" s="1" t="n"/>
      <x:c r="E1" s="1" t="n"/>
      <x:c r="F1" s="1" t="n"/>
      <x:c r="G1" s="1" t="n"/>
      <x:c r="H1" s="1" t="n"/>
    </x:row>
    <x:row r="2" s="204" customFormat="1" ht="24" customHeight="1">
      <x:c r="A2" s="1" t="n"/>
      <x:c r="B2" s="1" t="n"/>
      <x:c r="C2" s="1" t="n"/>
      <x:c r="D2" s="1" t="n"/>
      <x:c r="E2" s="1" t="n"/>
      <x:c r="F2" s="1" t="n"/>
      <x:c r="G2" s="1" t="n"/>
      <x:c r="H2" s="1" t="n"/>
    </x:row>
    <x:row r="3" s="204" customFormat="1" ht="30" customHeight="1">
      <x:c r="A3" s="15" t="inlineStr">
        <x:is>
          <x:t xml:space="preserve">EIA Table 3.1 petroleum products supplied (consumption proxy), divided by BEA real GDP (GDPCA).</x:t>
        </x:is>
      </x:c>
      <x:c r="B3" s="1" t="n"/>
      <x:c r="C3" s="1" t="n"/>
      <x:c r="D3" s="1" t="n"/>
      <x:c r="E3" s="1" t="n"/>
      <x:c r="F3" s="1" t="n"/>
      <x:c r="G3" s="1" t="n"/>
      <x:c r="H3" s="1" t="n"/>
    </x:row>
    <x:row r="7" s="204" customFormat="1" ht="42" customHeight="1">
      <x:c r="A7" s="218" t="inlineStr">
        <x:is>
          <x:t xml:space="preserve">Year</x:t>
        </x:is>
      </x:c>
      <x:c r="B7" s="218" t="inlineStr">
        <x:is>
          <x:t xml:space="preserve">Products supplied
(000 barrels/day)</x:t>
        </x:is>
      </x:c>
      <x:c r="C7" s="218" t="inlineStr">
        <x:is>
          <x:t xml:space="preserve">Real GDP
($bn 2017 chained)</x:t>
        </x:is>
      </x:c>
      <x:c r="D7" s="218" t="inlineStr">
        <x:is>
          <x:t xml:space="preserve">Petroleum / GDP
(000 bpd per $bn)</x:t>
        </x:is>
      </x:c>
      <x:c r="E7" s="218" t="inlineStr">
        <x:is>
          <x:t xml:space="preserve">1970 = 100</x:t>
        </x:is>
      </x:c>
      <x:c r="F7" s="218" t="inlineStr">
        <x:is>
          <x:t xml:space="preserve">Reduction vs 1970</x:t>
        </x:is>
      </x:c>
      <x:c r="G7" s="218" t="inlineStr">
        <x:is>
          <x:t xml:space="preserve">1970 / current</x:t>
        </x:is>
      </x:c>
      <x:c r="H7" s="218" t="inlineStr">
        <x:is>
          <x:t xml:space="preserve">Data provenance</x:t>
        </x:is>
      </x:c>
    </x:row>
    <x:row r="8">
      <x:c r="A8" s="225" t="n">
        <x:v>1970</x:v>
      </x:c>
      <x:c r="B8" s="225" t="n">
        <x:v>14697</x:v>
      </x:c>
      <x:c r="C8" s="225" t="n">
        <x:v>5316.391</x:v>
      </x:c>
      <x:c r="D8" t="n">
        <x:f>B8/C8</x:f>
        <x:v>2.7644693552449398</x:v>
      </x:c>
      <x:c r="E8" t="n">
        <x:f>D8/$D$8*100</x:f>
        <x:v>100</x:v>
      </x:c>
      <x:c r="F8" s="224" t="n">
        <x:f>1-D8/$D$8</x:f>
        <x:v>0</x:v>
      </x:c>
      <x:c r="G8" t="n">
        <x:f>$D$8/D8</x:f>
        <x:v>1</x:v>
      </x:c>
      <x:c r="H8" t="inlineStr">
        <x:is>
          <x:t xml:space="preserve">EIA T3.1 + BEA GDPCA</x:t>
        </x:is>
      </x:c>
    </x:row>
    <x:row r="9">
      <x:c r="A9" s="225" t="n">
        <x:v>1975</x:v>
      </x:c>
      <x:c r="B9" s="225" t="n">
        <x:v>16322</x:v>
      </x:c>
      <x:c r="C9" s="225" t="n">
        <x:v>6060.875</x:v>
      </x:c>
      <x:c r="D9" t="n">
        <x:f>B9/C9</x:f>
        <x:v>2.6930104976591664</x:v>
      </x:c>
      <x:c r="E9" t="n">
        <x:f>D9/$D$8*100</x:f>
        <x:v>97.41509677254346</x:v>
      </x:c>
      <x:c r="F9" s="224" t="n">
        <x:f>1-D9/$D$8</x:f>
        <x:v>0.025849032274565364</x:v>
      </x:c>
      <x:c r="G9" t="n">
        <x:f>$D$8/D9</x:f>
        <x:v>1.0265349346569155</x:v>
      </x:c>
      <x:c r="H9" t="inlineStr">
        <x:is>
          <x:t xml:space="preserve">EIA T3.1 + BEA GDPCA</x:t>
        </x:is>
      </x:c>
    </x:row>
    <x:row r="10">
      <x:c r="A10" s="225" t="n">
        <x:v>1980</x:v>
      </x:c>
      <x:c r="B10" s="225" t="n">
        <x:v>17056</x:v>
      </x:c>
      <x:c r="C10" s="225" t="n">
        <x:v>7257.316</x:v>
      </x:c>
      <x:c r="D10" t="n">
        <x:f>B10/C10</x:f>
        <x:v>2.3501801492452583</x:v>
      </x:c>
      <x:c r="E10" t="n">
        <x:f>D10/$D$8*100</x:f>
        <x:v>85.01378916667448</x:v>
      </x:c>
      <x:c r="F10" s="224" t="n">
        <x:f>1-D10/$D$8</x:f>
        <x:v>0.1498621083332552</x:v>
      </x:c>
      <x:c r="G10" t="n">
        <x:f>$D$8/D10</x:f>
        <x:v>1.176279765673592</x:v>
      </x:c>
      <x:c r="H10" t="inlineStr">
        <x:is>
          <x:t xml:space="preserve">EIA T3.1 + BEA GDPCA</x:t>
        </x:is>
      </x:c>
    </x:row>
    <x:row r="11">
      <x:c r="A11" s="225" t="n">
        <x:v>1985</x:v>
      </x:c>
      <x:c r="B11" s="225" t="n">
        <x:v>15726</x:v>
      </x:c>
      <x:c r="C11" s="225" t="n">
        <x:v>8537.004000000001</x:v>
      </x:c>
      <x:c r="D11" t="n">
        <x:f>B11/C11</x:f>
        <x:v>1.8420982349311303</x:v>
      </x:c>
      <x:c r="E11" t="n">
        <x:f>D11/$D$8*100</x:f>
        <x:v>66.6347858563227</x:v>
      </x:c>
      <x:c r="F11" s="224" t="n">
        <x:f>1-D11/$D$8</x:f>
        <x:v>0.333652141436773</x:v>
      </x:c>
      <x:c r="G11" t="n">
        <x:f>$D$8/D11</x:f>
        <x:v>1.5007176614271571</x:v>
      </x:c>
      <x:c r="H11" t="inlineStr">
        <x:is>
          <x:t xml:space="preserve">EIA T3.1 + BEA GDPCA</x:t>
        </x:is>
      </x:c>
    </x:row>
    <x:row r="12">
      <x:c r="A12" s="225" t="n">
        <x:v>1990</x:v>
      </x:c>
      <x:c r="B12" s="225" t="n">
        <x:v>16988</x:v>
      </x:c>
      <x:c r="C12" s="225" t="n">
        <x:v>10055.129</x:v>
      </x:c>
      <x:c r="D12" t="n">
        <x:f>B12/C12</x:f>
        <x:v>1.689486032451697</x:v>
      </x:c>
      <x:c r="E12" t="n">
        <x:f>D12/$D$8*100</x:f>
        <x:v>61.11429773118262</x:v>
      </x:c>
      <x:c r="F12" s="224" t="n">
        <x:f>1-D12/$D$8</x:f>
        <x:v>0.3888570226881738</x:v>
      </x:c>
      <x:c r="G12" t="n">
        <x:f>$D$8/D12</x:f>
        <x:v>1.6362783131348422</x:v>
      </x:c>
      <x:c r="H12" t="inlineStr">
        <x:is>
          <x:t xml:space="preserve">EIA T3.1 + BEA GDPCA</x:t>
        </x:is>
      </x:c>
    </x:row>
    <x:row r="13">
      <x:c r="A13" s="225" t="n">
        <x:v>1995</x:v>
      </x:c>
      <x:c r="B13" s="225" t="n">
        <x:v>17725</x:v>
      </x:c>
      <x:c r="C13" s="225" t="n">
        <x:v>11413.012</x:v>
      </x:c>
      <x:c r="D13" t="n">
        <x:f>B13/C13</x:f>
        <x:v>1.5530519025126759</x:v>
      </x:c>
      <x:c r="E13" t="n">
        <x:f>D13/$D$8*100</x:f>
        <x:v>56.179023998443675</x:v>
      </x:c>
      <x:c r="F13" s="224" t="n">
        <x:f>1-D13/$D$8</x:f>
        <x:v>0.4382097600155632</x:v>
      </x:c>
      <x:c r="G13" t="n">
        <x:f>$D$8/D13</x:f>
        <x:v>1.7800238039516367</x:v>
      </x:c>
      <x:c r="H13" t="inlineStr">
        <x:is>
          <x:t xml:space="preserve">EIA T3.1 + BEA GDPCA</x:t>
        </x:is>
      </x:c>
    </x:row>
    <x:row r="14">
      <x:c r="A14" s="225" t="n">
        <x:v>2000</x:v>
      </x:c>
      <x:c r="B14" s="225" t="n">
        <x:v>19701</x:v>
      </x:c>
      <x:c r="C14" s="225" t="n">
        <x:v>14096.033</x:v>
      </x:c>
      <x:c r="D14" t="n">
        <x:f>B14/C14</x:f>
        <x:v>1.397627261513931</x:v>
      </x:c>
      <x:c r="E14" t="n">
        <x:f>D14/$D$8*100</x:f>
        <x:v>50.55680066998237</x:v>
      </x:c>
      <x:c r="F14" s="224" t="n">
        <x:f>1-D14/$D$8</x:f>
        <x:v>0.4944319933001763</x:v>
      </x:c>
      <x:c r="G14" t="n">
        <x:f>$D$8/D14</x:f>
        <x:v>1.9779732632364546</x:v>
      </x:c>
      <x:c r="H14" t="inlineStr">
        <x:is>
          <x:t xml:space="preserve">EIA T3.1 + BEA GDPCA</x:t>
        </x:is>
      </x:c>
    </x:row>
    <x:row r="15">
      <x:c r="A15" s="225" t="n">
        <x:v>2005</x:v>
      </x:c>
      <x:c r="B15" s="225" t="n">
        <x:v>20802</x:v>
      </x:c>
      <x:c r="C15" s="225" t="n">
        <x:v>15987.957</x:v>
      </x:c>
      <x:c r="D15" t="n">
        <x:f>B15/C15</x:f>
        <x:v>1.3011043249615946</x:v>
      </x:c>
      <x:c r="E15" t="n">
        <x:f>D15/$D$8*100</x:f>
        <x:v>47.065246807422575</x:v>
      </x:c>
      <x:c r="F15" s="224" t="n">
        <x:f>1-D15/$D$8</x:f>
        <x:v>0.5293475319257742</x:v>
      </x:c>
      <x:c r="G15" t="n">
        <x:f>$D$8/D15</x:f>
        <x:v>2.124709988437353</x:v>
      </x:c>
      <x:c r="H15" t="inlineStr">
        <x:is>
          <x:t xml:space="preserve">EIA T3.1 + BEA GDPCA</x:t>
        </x:is>
      </x:c>
    </x:row>
    <x:row r="16">
      <x:c r="A16" s="225" t="n">
        <x:v>2010</x:v>
      </x:c>
      <x:c r="B16" s="225" t="n">
        <x:v>19178</x:v>
      </x:c>
      <x:c r="C16" s="225" t="n">
        <x:v>16789.75</x:v>
      </x:c>
      <x:c r="D16" t="n">
        <x:f>B16/C16</x:f>
        <x:v>1.1422445241888652</x:v>
      </x:c>
      <x:c r="E16" t="n">
        <x:f>D16/$D$8*100</x:f>
        <x:v>41.318762388221856</x:v>
      </x:c>
      <x:c r="F16" s="224" t="n">
        <x:f>1-D16/$D$8</x:f>
        <x:v>0.5868123761177815</x:v>
      </x:c>
      <x:c r="G16" t="n">
        <x:f>$D$8/D16</x:f>
        <x:v>2.4202080173753115</x:v>
      </x:c>
      <x:c r="H16" t="inlineStr">
        <x:is>
          <x:t xml:space="preserve">EIA T3.1 + BEA GDPCA</x:t>
        </x:is>
      </x:c>
    </x:row>
    <x:row r="17">
      <x:c r="A17" s="225" t="n">
        <x:v>2011</x:v>
      </x:c>
      <x:c r="B17" s="225" t="n">
        <x:v>18896</x:v>
      </x:c>
      <x:c r="C17" s="225" t="n">
        <x:v>17052.41</x:v>
      </x:c>
      <x:c r="D17" t="n">
        <x:f>B17/C17</x:f>
        <x:v>1.1081131640630268</x:v>
      </x:c>
      <x:c r="E17" t="n">
        <x:f>D17/$D$8*100</x:f>
        <x:v>40.08411820375722</x:v>
      </x:c>
      <x:c r="F17" s="224" t="n">
        <x:f>1-D17/$D$8</x:f>
        <x:v>0.5991588179624278</x:v>
      </x:c>
      <x:c r="G17" t="n">
        <x:f>$D$8/D17</x:f>
        <x:v>2.4947536451139056</x:v>
      </x:c>
      <x:c r="H17" t="inlineStr">
        <x:is>
          <x:t xml:space="preserve">EIA T3.1 + BEA GDPCA</x:t>
        </x:is>
      </x:c>
    </x:row>
    <x:row r="18">
      <x:c r="A18" s="225" t="n">
        <x:v>2012</x:v>
      </x:c>
      <x:c r="B18" s="225" t="n">
        <x:v>18482</x:v>
      </x:c>
      <x:c r="C18" s="225" t="n">
        <x:v>17442.759</x:v>
      </x:c>
      <x:c r="D18" t="n">
        <x:f>B18/C18</x:f>
        <x:v>1.0595800813391965</x:v>
      </x:c>
      <x:c r="E18" t="n">
        <x:f>D18/$D$8*100</x:f>
        <x:v>38.32851607954665</x:v>
      </x:c>
      <x:c r="F18" s="224" t="n">
        <x:f>1-D18/$D$8</x:f>
        <x:v>0.6167148392045334</x:v>
      </x:c>
      <x:c r="G18" t="n">
        <x:f>$D$8/D18</x:f>
        <x:v>2.609023521611453</x:v>
      </x:c>
      <x:c r="H18" t="inlineStr">
        <x:is>
          <x:t xml:space="preserve">EIA T3.1 + BEA GDPCA</x:t>
        </x:is>
      </x:c>
    </x:row>
    <x:row r="19">
      <x:c r="A19" s="225" t="n">
        <x:v>2013</x:v>
      </x:c>
      <x:c r="B19" s="225" t="n">
        <x:v>18967</x:v>
      </x:c>
      <x:c r="C19" s="225" t="n">
        <x:v>17812.167</x:v>
      </x:c>
      <x:c r="D19" t="n">
        <x:f>B19/C19</x:f>
        <x:v>1.0648339418780433</x:v>
      </x:c>
      <x:c r="E19" t="n">
        <x:f>D19/$D$8*100</x:f>
        <x:v>38.5185655922634</x:v>
      </x:c>
      <x:c r="F19" s="224" t="n">
        <x:f>1-D19/$D$8</x:f>
        <x:v>0.614814344077366</x:v>
      </x:c>
      <x:c r="G19" t="n">
        <x:f>$D$8/D19</x:f>
        <x:v>2.5961506733803548</x:v>
      </x:c>
      <x:c r="H19" t="inlineStr">
        <x:is>
          <x:t xml:space="preserve">EIA T3.1 + BEA GDPCA</x:t>
        </x:is>
      </x:c>
    </x:row>
    <x:row r="20">
      <x:c r="A20" s="225" t="n">
        <x:v>2014</x:v>
      </x:c>
      <x:c r="B20" s="225" t="n">
        <x:v>19100</x:v>
      </x:c>
      <x:c r="C20" s="225" t="n">
        <x:v>18261.714</x:v>
      </x:c>
      <x:c r="D20" t="n">
        <x:f>B20/C20</x:f>
        <x:v>1.0459040153624135</x:v>
      </x:c>
      <x:c r="E20" t="n">
        <x:f>D20/$D$8*100</x:f>
        <x:v>37.83380753988295</x:v>
      </x:c>
      <x:c r="F20" s="224" t="n">
        <x:f>1-D20/$D$8</x:f>
        <x:v>0.6216619246011705</x:v>
      </x:c>
      <x:c r="G20" t="n">
        <x:f>$D$8/D20</x:f>
        <x:v>2.64313867681924</x:v>
      </x:c>
      <x:c r="H20" t="inlineStr">
        <x:is>
          <x:t xml:space="preserve">EIA T3.1 + BEA GDPCA</x:t>
        </x:is>
      </x:c>
    </x:row>
    <x:row r="21">
      <x:c r="A21" s="225" t="n">
        <x:v>2015</x:v>
      </x:c>
      <x:c r="B21" s="225" t="n">
        <x:v>19532</x:v>
      </x:c>
      <x:c r="C21" s="225" t="n">
        <x:v>18799.622</x:v>
      </x:c>
      <x:c r="D21" t="n">
        <x:f>B21/C21</x:f>
        <x:v>1.0389570598813105</x:v>
      </x:c>
      <x:c r="E21" t="n">
        <x:f>D21/$D$8*100</x:f>
        <x:v>37.582513183231</x:v>
      </x:c>
      <x:c r="F21" s="224" t="n">
        <x:f>1-D21/$D$8</x:f>
        <x:v>0.62417486816769</x:v>
      </x:c>
      <x:c r="G21" t="n">
        <x:f>$D$8/D21</x:f>
        <x:v>2.660811944971768</x:v>
      </x:c>
      <x:c r="H21" t="inlineStr">
        <x:is>
          <x:t xml:space="preserve">EIA T3.1 + BEA GDPCA</x:t>
        </x:is>
      </x:c>
    </x:row>
    <x:row r="22">
      <x:c r="A22" s="225" t="n">
        <x:v>2016</x:v>
      </x:c>
      <x:c r="B22" s="225" t="n">
        <x:v>19692</x:v>
      </x:c>
      <x:c r="C22" s="225" t="n">
        <x:v>19141.672</x:v>
      </x:c>
      <x:c r="D22" t="n">
        <x:f>B22/C22</x:f>
        <x:v>1.0287502575532588</x:v>
      </x:c>
      <x:c r="E22" t="n">
        <x:f>D22/$D$8*100</x:f>
        <x:v>37.213299384254114</x:v>
      </x:c>
      <x:c r="F22" s="224" t="n">
        <x:f>1-D22/$D$8</x:f>
        <x:v>0.6278670061574589</x:v>
      </x:c>
      <x:c r="G22" t="n">
        <x:f>$D$8/D22</x:f>
        <x:v>2.6872113372003916</x:v>
      </x:c>
      <x:c r="H22" t="inlineStr">
        <x:is>
          <x:t xml:space="preserve">EIA T3.1 + BEA GDPCA</x:t>
        </x:is>
      </x:c>
    </x:row>
    <x:row r="23">
      <x:c r="A23" s="225" t="n">
        <x:v>2017</x:v>
      </x:c>
      <x:c r="B23" s="225" t="n">
        <x:v>19952</x:v>
      </x:c>
      <x:c r="C23" s="225" t="n">
        <x:v>19612.102</x:v>
      </x:c>
      <x:c r="D23" t="n">
        <x:f>B23/C23</x:f>
        <x:v>1.017331033664826</x:v>
      </x:c>
      <x:c r="E23" t="n">
        <x:f>D23/$D$8*100</x:f>
        <x:v>36.800228287380946</x:v>
      </x:c>
      <x:c r="F23" s="224" t="n">
        <x:f>1-D23/$D$8</x:f>
        <x:v>0.6319977171261906</x:v>
      </x:c>
      <x:c r="G23" t="n">
        <x:f>$D$8/D23</x:f>
        <x:v>2.717374447220228</x:v>
      </x:c>
      <x:c r="H23" t="inlineStr">
        <x:is>
          <x:t xml:space="preserve">EIA T3.1 + BEA GDPCA</x:t>
        </x:is>
      </x:c>
    </x:row>
    <x:row r="24">
      <x:c r="A24" s="225" t="n">
        <x:v>2018</x:v>
      </x:c>
      <x:c r="B24" s="225" t="n">
        <x:v>20512</x:v>
      </x:c>
      <x:c r="C24" s="225" t="n">
        <x:v>20193.896</x:v>
      </x:c>
      <x:c r="D24" t="n">
        <x:f>B24/C24</x:f>
        <x:v>1.0157524828294648</x:v>
      </x:c>
      <x:c r="E24" t="n">
        <x:f>D24/$D$8*100</x:f>
        <x:v>36.74312688264422</x:v>
      </x:c>
      <x:c r="F24" s="224" t="n">
        <x:f>1-D24/$D$8</x:f>
        <x:v>0.6325687311735577</x:v>
      </x:c>
      <x:c r="G24" t="n">
        <x:f>$D$8/D24</x:f>
        <x:v>2.7215974383289474</x:v>
      </x:c>
      <x:c r="H24" t="inlineStr">
        <x:is>
          <x:t xml:space="preserve">EIA T3.1 + BEA GDPCA</x:t>
        </x:is>
      </x:c>
    </x:row>
    <x:row r="25">
      <x:c r="A25" s="225" t="n">
        <x:v>2019</x:v>
      </x:c>
      <x:c r="B25" s="225" t="n">
        <x:v>20543</x:v>
      </x:c>
      <x:c r="C25" s="225" t="n">
        <x:v>20715.671</x:v>
      </x:c>
      <x:c r="D25" t="n">
        <x:f>B25/C25</x:f>
        <x:v>0.9916647160499895</x:v>
      </x:c>
      <x:c r="E25" t="n">
        <x:f>D25/$D$8*100</x:f>
        <x:v>35.871792688478735</x:v>
      </x:c>
      <x:c r="F25" s="224" t="n">
        <x:f>1-D25/$D$8</x:f>
        <x:v>0.6412820731152127</x:v>
      </x:c>
      <x:c r="G25" t="n">
        <x:f>$D$8/D25</x:f>
        <x:v>2.78770567360348</x:v>
      </x:c>
      <x:c r="H25" t="inlineStr">
        <x:is>
          <x:t xml:space="preserve">EIA T3.1 + BEA GDPCA</x:t>
        </x:is>
      </x:c>
    </x:row>
    <x:row r="26">
      <x:c r="A26" s="225" t="n">
        <x:v>2020</x:v>
      </x:c>
      <x:c r="B26" s="225" t="n">
        <x:v>18186</x:v>
      </x:c>
      <x:c r="C26" s="225" t="n">
        <x:v>20284.5</x:v>
      </x:c>
      <x:c r="D26" t="n">
        <x:f>B26/C26</x:f>
        <x:v>0.8965466242697626</x:v>
      </x:c>
      <x:c r="E26" t="n">
        <x:f>D26/$D$8*100</x:f>
        <x:v>32.431056707818925</x:v>
      </x:c>
      <x:c r="F26" s="224" t="n">
        <x:f>1-D26/$D$8</x:f>
        <x:v>0.6756894329218108</x:v>
      </x:c>
      <x:c r="G26" t="n">
        <x:f>$D$8/D26</x:f>
        <x:v>3.08346412825613</x:v>
      </x:c>
      <x:c r="H26" t="inlineStr">
        <x:is>
          <x:t xml:space="preserve">EIA T3.1 + BEA GDPCA</x:t>
        </x:is>
      </x:c>
    </x:row>
    <x:row r="27">
      <x:c r="A27" s="225" t="n">
        <x:v>2021</x:v>
      </x:c>
      <x:c r="B27" s="225" t="n">
        <x:v>19890</x:v>
      </x:c>
      <x:c r="C27" s="225" t="n">
        <x:v>21556.002</x:v>
      </x:c>
      <x:c r="D27" t="n">
        <x:f>B27/C27</x:f>
        <x:v>0.9227128481431761</x:v>
      </x:c>
      <x:c r="E27" t="n">
        <x:f>D27/$D$8*100</x:f>
        <x:v>33.377575569522676</x:v>
      </x:c>
      <x:c r="F27" s="224" t="n">
        <x:f>1-D27/$D$8</x:f>
        <x:v>0.6662242443047732</x:v>
      </x:c>
      <x:c r="G27" t="n">
        <x:f>$D$8/D27</x:f>
        <x:v>2.996023476651515</x:v>
      </x:c>
      <x:c r="H27" t="inlineStr">
        <x:is>
          <x:t xml:space="preserve">EIA T3.1 + BEA GDPCA</x:t>
        </x:is>
      </x:c>
    </x:row>
    <x:row r="28">
      <x:c r="A28" s="225" t="n">
        <x:v>2022</x:v>
      </x:c>
      <x:c r="B28" s="225" t="n">
        <x:v>20010</x:v>
      </x:c>
      <x:c r="C28" s="225" t="n">
        <x:v>22079.726</x:v>
      </x:c>
      <x:c r="D28" t="n">
        <x:f>B28/C28</x:f>
        <x:v>0.9062612461766962</x:v>
      </x:c>
      <x:c r="E28" t="n">
        <x:f>D28/$D$8*100</x:f>
        <x:v>32.78246671308819</x:v>
      </x:c>
      <x:c r="F28" s="224" t="n">
        <x:f>1-D28/$D$8</x:f>
        <x:v>0.672175332869118</x:v>
      </x:c>
      <x:c r="G28" t="n">
        <x:f>$D$8/D28</x:f>
        <x:v>3.050411089415539</x:v>
      </x:c>
      <x:c r="H28" t="inlineStr">
        <x:is>
          <x:t xml:space="preserve">EIA T3.1 + BEA GDPCA</x:t>
        </x:is>
      </x:c>
    </x:row>
    <x:row r="29">
      <x:c r="A29" s="225" t="n">
        <x:v>2023</x:v>
      </x:c>
      <x:c r="B29" s="225" t="n">
        <x:v>20275</x:v>
      </x:c>
      <x:c r="C29" s="225" t="n">
        <x:v>22724.135</x:v>
      </x:c>
      <x:c r="D29" t="n">
        <x:f>B29/C29</x:f>
        <x:v>0.8922231803322768</x:v>
      </x:c>
      <x:c r="E29" t="n">
        <x:f>D29/$D$8*100</x:f>
        <x:v>32.274663440905584</x:v>
      </x:c>
      <x:c r="F29" s="224" t="n">
        <x:f>1-D29/$D$8</x:f>
        <x:v>0.6772533655909442</x:v>
      </x:c>
      <x:c r="G29" t="n">
        <x:f>$D$8/D29</x:f>
        <x:v>3.0984056637212807</x:v>
      </x:c>
      <x:c r="H29" t="inlineStr">
        <x:is>
          <x:t xml:space="preserve">EIA T3.1 + BEA GDPCA</x:t>
        </x:is>
      </x:c>
    </x:row>
    <x:row r="30">
      <x:c r="A30" s="225" t="n">
        <x:v>2024</x:v>
      </x:c>
      <x:c r="B30" s="225" t="n">
        <x:v>20464</x:v>
      </x:c>
      <x:c r="C30" s="225" t="n">
        <x:v>23394.892</x:v>
      </x:c>
      <x:c r="D30" t="n">
        <x:f>B30/C30</x:f>
        <x:v>0.8747208578693161</x:v>
      </x:c>
      <x:c r="E30" t="n">
        <x:f>D30/$D$8*100</x:f>
        <x:v>31.641546548878758</x:v>
      </x:c>
      <x:c r="F30" s="224" t="n">
        <x:f>1-D30/$D$8</x:f>
        <x:v>0.6835845345112124</x:v>
      </x:c>
      <x:c r="G30" t="n">
        <x:f>$D$8/D30</x:f>
        <x:v>3.160401778892934</x:v>
      </x:c>
      <x:c r="H30" t="inlineStr">
        <x:is>
          <x:t xml:space="preserve">EIA T3.1 + BEA GDPCA</x:t>
        </x:is>
      </x:c>
    </x:row>
    <x:row r="31">
      <x:c r="A31" s="225" t="n">
        <x:v>2025</x:v>
      </x:c>
      <x:c r="B31" s="225" t="n">
        <x:v>20610</x:v>
      </x:c>
      <x:c r="C31" s="225" t="n">
        <x:v>23943.305</x:v>
      </x:c>
      <x:c r="D31" t="n">
        <x:f>B31/C31</x:f>
        <x:v>0.8607834215034224</x:v>
      </x:c>
      <x:c r="E31" t="n">
        <x:f>D31/$D$8*100</x:f>
        <x:v>31.137383377764177</x:v>
      </x:c>
      <x:c r="F31" s="224" t="n">
        <x:f>1-D31/$D$8</x:f>
        <x:v>0.6886261662223583</x:v>
      </x:c>
      <x:c r="G31" t="n">
        <x:f>$D$8/D31</x:f>
        <x:v>3.2115736504504095</x:v>
      </x:c>
      <x:c r="H31" t="inlineStr">
        <x:is>
          <x:t xml:space="preserve">EIA T3.1 + BEA GDPCA</x:t>
        </x:is>
      </x:c>
    </x:row>
  </x:sheetData>
  <x:mergeCells>
    <x:mergeCell ref="A1:H2"/>
    <x:mergeCell ref="A3:H3"/>
  </x:mergeCells>
  <x:pageMargins left="0.7" right="0.7" top="0.75" bottom="0.75" header="0.3" footer="0.3"/>
  <x:drawing xmlns:r="http://schemas.openxmlformats.org/officeDocument/2006/relationships" r:id="Rad65ad53eabb47ef"/>
</x:worksheet>
</file>

<file path=xl/worksheets/sheet4.xml><?xml version="1.0" encoding="utf-8"?>
<x:worksheet xmlns:x="http://schemas.openxmlformats.org/spreadsheetml/2006/main">
  <x:sheetFormatPr baseColWidth="8" defaultRowHeight="15"/>
  <x:cols>
    <x:col min="1" max="1" width="12" style="204" customWidth="1"/>
    <x:col min="2" max="2" width="22" style="204" customWidth="1"/>
    <x:col min="3" max="3" width="22" style="204" customWidth="1"/>
    <x:col min="4" max="4" width="20" style="204" customWidth="1"/>
    <x:col min="5" max="5" width="16" style="204" customWidth="1"/>
    <x:col min="6" max="6" width="16" style="204" customWidth="1"/>
    <x:col min="7" max="7" width="18" style="204" customWidth="1"/>
    <x:col min="8" max="8" width="33" style="204" customWidth="1"/>
  </x:cols>
  <x:sheetData>
    <x:row r="1" s="204" customFormat="1" ht="24" customHeight="1">
      <x:c r="A1" s="7" t="inlineStr">
        <x:is>
          <x:t xml:space="preserve">03 | GASOLINE &amp; OTHER ENERGY GOODS / CONSUMER SPENDING</x:t>
        </x:is>
      </x:c>
      <x:c r="B1" s="1" t="n"/>
      <x:c r="C1" s="1" t="n"/>
      <x:c r="D1" s="1" t="n"/>
      <x:c r="E1" s="1" t="n"/>
      <x:c r="F1" s="1" t="n"/>
      <x:c r="G1" s="1" t="n"/>
      <x:c r="H1" s="1" t="n"/>
    </x:row>
    <x:row r="2" s="204" customFormat="1" ht="24" customHeight="1">
      <x:c r="A2" s="1" t="n"/>
      <x:c r="B2" s="1" t="n"/>
      <x:c r="C2" s="1" t="n"/>
      <x:c r="D2" s="1" t="n"/>
      <x:c r="E2" s="1" t="n"/>
      <x:c r="F2" s="1" t="n"/>
      <x:c r="G2" s="1" t="n"/>
      <x:c r="H2" s="1" t="n"/>
    </x:row>
    <x:row r="3" s="204" customFormat="1" ht="30" customHeight="1">
      <x:c r="A3" s="15" t="inlineStr">
        <x:is>
          <x:t xml:space="preserve">BEA annual NOMINAL Gasoline &amp; Other Energy Goods (DGOERC1A027NBEA) / NOMINAL total PCE (PCECA).</x:t>
        </x:is>
      </x:c>
      <x:c r="B3" s="1" t="n"/>
      <x:c r="C3" s="1" t="n"/>
      <x:c r="D3" s="1" t="n"/>
      <x:c r="E3" s="1" t="n"/>
      <x:c r="F3" s="1" t="n"/>
      <x:c r="G3" s="1" t="n"/>
      <x:c r="H3" s="1" t="n"/>
    </x:row>
    <x:row r="7" s="204" customFormat="1" ht="42" customHeight="1">
      <x:c r="A7" s="218" t="inlineStr">
        <x:is>
          <x:t xml:space="preserve">Year</x:t>
        </x:is>
      </x:c>
      <x:c r="B7" s="218" t="inlineStr">
        <x:is>
          <x:t xml:space="preserve">Gas + energy goods
($bn, nominal)</x:t>
        </x:is>
      </x:c>
      <x:c r="C7" s="218" t="inlineStr">
        <x:is>
          <x:t xml:space="preserve">Total PCE
($bn, nominal)</x:t>
        </x:is>
      </x:c>
      <x:c r="D7" s="218" t="inlineStr">
        <x:is>
          <x:t xml:space="preserve">Energy spending
share of PCE</x:t>
        </x:is>
      </x:c>
      <x:c r="E7" s="218" t="inlineStr">
        <x:is>
          <x:t xml:space="preserve">Vs 1980
(pp change)</x:t>
        </x:is>
      </x:c>
      <x:c r="F7" s="218" t="inlineStr">
        <x:is>
          <x:t xml:space="preserve">1980 = 100</x:t>
        </x:is>
      </x:c>
      <x:c r="G7" s="218" t="inlineStr">
        <x:is>
          <x:t xml:space="preserve">Publisher</x:t>
        </x:is>
      </x:c>
      <x:c r="H7" s="218" t="inlineStr">
        <x:is>
          <x:t xml:space="preserve">Series IDs</x:t>
        </x:is>
      </x:c>
    </x:row>
    <x:row r="8">
      <x:c r="A8" s="225" t="n">
        <x:v>1970</x:v>
      </x:c>
      <x:c r="B8" s="225" t="n">
        <x:v>26.286</x:v>
      </x:c>
      <x:c r="C8" s="225" t="n">
        <x:v>646.724</x:v>
      </x:c>
      <x:c r="D8" s="224" t="n">
        <x:f>B8/C8</x:f>
        <x:v>0.040644850044222885</x:v>
      </x:c>
      <x:c r="E8" t="n">
        <x:f>(D8-$D$18)*100</x:f>
        <x:v>-1.756039401418457</x:v>
      </x:c>
      <x:c r="F8" t="n">
        <x:f>D8/$D$18*100</x:f>
        <x:v>69.83022011459454</x:v>
      </x:c>
      <x:c r="G8" t="inlineStr">
        <x:is>
          <x:t xml:space="preserve">BEA via FRED</x:t>
        </x:is>
      </x:c>
      <x:c r="H8" t="inlineStr">
        <x:is>
          <x:t xml:space="preserve">DGOERC1A027NBEA; PCECA</x:t>
        </x:is>
      </x:c>
    </x:row>
    <x:row r="9">
      <x:c r="A9" s="225" t="n">
        <x:v>1971</x:v>
      </x:c>
      <x:c r="B9" s="225" t="n">
        <x:v>27.647</x:v>
      </x:c>
      <x:c r="C9" s="225" t="n">
        <x:v>699.937</x:v>
      </x:c>
      <x:c r="D9" s="224" t="n">
        <x:f>B9/C9</x:f>
        <x:v>0.03949926921994408</x:v>
      </x:c>
      <x:c r="E9" t="n">
        <x:f>(D9-$D$18)*100</x:f>
        <x:v>-1.8705974838463375</x:v>
      </x:c>
      <x:c r="F9" t="n">
        <x:f>D9/$D$18*100</x:f>
        <x:v>67.862045523437</x:v>
      </x:c>
      <x:c r="G9" t="inlineStr">
        <x:is>
          <x:t xml:space="preserve">BEA via FRED</x:t>
        </x:is>
      </x:c>
      <x:c r="H9" t="inlineStr">
        <x:is>
          <x:t xml:space="preserve">DGOERC1A027NBEA; PCECA</x:t>
        </x:is>
      </x:c>
    </x:row>
    <x:row r="10">
      <x:c r="A10" s="225" t="n">
        <x:v>1972</x:v>
      </x:c>
      <x:c r="B10" s="225" t="n">
        <x:v>29.393</x:v>
      </x:c>
      <x:c r="C10" s="225" t="n">
        <x:v>768.153</x:v>
      </x:c>
      <x:c r="D10" s="224" t="n">
        <x:f>B10/C10</x:f>
        <x:v>0.03826451240833532</x:v>
      </x:c>
      <x:c r="E10" t="n">
        <x:f>(D10-$D$18)*100</x:f>
        <x:v>-1.9940731650072139</x:v>
      </x:c>
      <x:c r="F10" t="n">
        <x:f>D10/$D$18*100</x:f>
        <x:v>65.74066139115897</x:v>
      </x:c>
      <x:c r="G10" t="inlineStr">
        <x:is>
          <x:t xml:space="preserve">BEA via FRED</x:t>
        </x:is>
      </x:c>
      <x:c r="H10" t="inlineStr">
        <x:is>
          <x:t xml:space="preserve">DGOERC1A027NBEA; PCECA</x:t>
        </x:is>
      </x:c>
    </x:row>
    <x:row r="11">
      <x:c r="A11" s="225" t="n">
        <x:v>1973</x:v>
      </x:c>
      <x:c r="B11" s="225" t="n">
        <x:v>34.325</x:v>
      </x:c>
      <x:c r="C11" s="225" t="n">
        <x:v>849.575</x:v>
      </x:c>
      <x:c r="D11" s="224" t="n">
        <x:f>B11/C11</x:f>
        <x:v>0.04040255421828561</x:v>
      </x:c>
      <x:c r="E11" t="n">
        <x:f>(D11-$D$18)*100</x:f>
        <x:v>-1.7802689840121844</x:v>
      </x:c>
      <x:c r="F11" t="n">
        <x:f>D11/$D$18*100</x:f>
        <x:v>69.41394177085263</x:v>
      </x:c>
      <x:c r="G11" t="inlineStr">
        <x:is>
          <x:t xml:space="preserve">BEA via FRED</x:t>
        </x:is>
      </x:c>
      <x:c r="H11" t="inlineStr">
        <x:is>
          <x:t xml:space="preserve">DGOERC1A027NBEA; PCECA</x:t>
        </x:is>
      </x:c>
    </x:row>
    <x:row r="12">
      <x:c r="A12" s="225" t="n">
        <x:v>1974</x:v>
      </x:c>
      <x:c r="B12" s="225" t="n">
        <x:v>43.849</x:v>
      </x:c>
      <x:c r="C12" s="225" t="n">
        <x:v>930.1609999999999</x:v>
      </x:c>
      <x:c r="D12" s="224" t="n">
        <x:f>B12/C12</x:f>
        <x:v>0.04714130134460593</x:v>
      </x:c>
      <x:c r="E12" t="n">
        <x:f>(D12-$D$18)*100</x:f>
        <x:v>-1.1063942713801524</x:v>
      </x:c>
      <x:c r="F12" t="n">
        <x:f>D12/$D$18*100</x:f>
        <x:v>80.99150189508845</x:v>
      </x:c>
      <x:c r="G12" t="inlineStr">
        <x:is>
          <x:t xml:space="preserve">BEA via FRED</x:t>
        </x:is>
      </x:c>
      <x:c r="H12" t="inlineStr">
        <x:is>
          <x:t xml:space="preserve">DGOERC1A027NBEA; PCECA</x:t>
        </x:is>
      </x:c>
    </x:row>
    <x:row r="13">
      <x:c r="A13" s="225" t="n">
        <x:v>1975</x:v>
      </x:c>
      <x:c r="B13" s="225" t="n">
        <x:v>48.02</x:v>
      </x:c>
      <x:c r="C13" s="225" t="n">
        <x:v>1030.547</x:v>
      </x:c>
      <x:c r="D13" s="224" t="n">
        <x:f>B13/C13</x:f>
        <x:v>0.0465966132549025</x:v>
      </x:c>
      <x:c r="E13" t="n">
        <x:f>(D13-$D$18)*100</x:f>
        <x:v>-1.1608630803504958</x:v>
      </x:c>
      <x:c r="F13" t="n">
        <x:f>D13/$D$18*100</x:f>
        <x:v>80.05569602653672</x:v>
      </x:c>
      <x:c r="G13" t="inlineStr">
        <x:is>
          <x:t xml:space="preserve">BEA via FRED</x:t>
        </x:is>
      </x:c>
      <x:c r="H13" t="inlineStr">
        <x:is>
          <x:t xml:space="preserve">DGOERC1A027NBEA; PCECA</x:t>
        </x:is>
      </x:c>
    </x:row>
    <x:row r="14">
      <x:c r="A14" s="225" t="n">
        <x:v>1976</x:v>
      </x:c>
      <x:c r="B14" s="225" t="n">
        <x:v>53.013</x:v>
      </x:c>
      <x:c r="C14" s="225" t="n">
        <x:v>1147.666</x:v>
      </x:c>
      <x:c r="D14" s="224" t="n">
        <x:f>B14/C14</x:f>
        <x:v>0.046192010567534456</x:v>
      </x:c>
      <x:c r="E14" t="n">
        <x:f>(D14-$D$18)*100</x:f>
        <x:v>-1.2013233490873</x:v>
      </x:c>
      <x:c r="F14" t="n">
        <x:f>D14/$D$18*100</x:f>
        <x:v>79.36056503977883</x:v>
      </x:c>
      <x:c r="G14" t="inlineStr">
        <x:is>
          <x:t xml:space="preserve">BEA via FRED</x:t>
        </x:is>
      </x:c>
      <x:c r="H14" t="inlineStr">
        <x:is>
          <x:t xml:space="preserve">DGOERC1A027NBEA; PCECA</x:t>
        </x:is>
      </x:c>
    </x:row>
    <x:row r="15">
      <x:c r="A15" s="225" t="n">
        <x:v>1977</x:v>
      </x:c>
      <x:c r="B15" s="225" t="n">
        <x:v>57.817</x:v>
      </x:c>
      <x:c r="C15" s="225" t="n">
        <x:v>1273.975</x:v>
      </x:c>
      <x:c r="D15" s="224" t="n">
        <x:f>B15/C15</x:f>
        <x:v>0.045383151160737066</x:v>
      </x:c>
      <x:c r="E15" t="n">
        <x:f>(D15-$D$18)*100</x:f>
        <x:v>-1.282209289767039</x:v>
      </x:c>
      <x:c r="F15" t="n">
        <x:f>D15/$D$18*100</x:f>
        <x:v>77.97089745933587</x:v>
      </x:c>
      <x:c r="G15" t="inlineStr">
        <x:is>
          <x:t xml:space="preserve">BEA via FRED</x:t>
        </x:is>
      </x:c>
      <x:c r="H15" t="inlineStr">
        <x:is>
          <x:t xml:space="preserve">DGOERC1A027NBEA; PCECA</x:t>
        </x:is>
      </x:c>
    </x:row>
    <x:row r="16">
      <x:c r="A16" s="225" t="n">
        <x:v>1978</x:v>
      </x:c>
      <x:c r="B16" s="225" t="n">
        <x:v>61.453</x:v>
      </x:c>
      <x:c r="C16" s="225" t="n">
        <x:v>1422.252</x:v>
      </x:c>
      <x:c r="D16" s="224" t="n">
        <x:f>B16/C16</x:f>
        <x:v>0.043208235952559744</x:v>
      </x:c>
      <x:c r="E16" t="n">
        <x:f>(D16-$D$18)*100</x:f>
        <x:v>-1.4997008105847711</x:v>
      </x:c>
      <x:c r="F16" t="n">
        <x:f>D16/$D$18*100</x:f>
        <x:v>74.23426643345297</x:v>
      </x:c>
      <x:c r="G16" t="inlineStr">
        <x:is>
          <x:t xml:space="preserve">BEA via FRED</x:t>
        </x:is>
      </x:c>
      <x:c r="H16" t="inlineStr">
        <x:is>
          <x:t xml:space="preserve">DGOERC1A027NBEA; PCECA</x:t>
        </x:is>
      </x:c>
    </x:row>
    <x:row r="17">
      <x:c r="A17" s="225" t="n">
        <x:v>1979</x:v>
      </x:c>
      <x:c r="B17" s="225" t="n">
        <x:v>80.38800000000001</x:v>
      </x:c>
      <x:c r="C17" s="225" t="n">
        <x:v>1585.42</x:v>
      </x:c>
      <x:c r="D17" s="224" t="n">
        <x:f>B17/C17</x:f>
        <x:v>0.05070454516784196</x:v>
      </x:c>
      <x:c r="E17" t="n">
        <x:f>(D17-$D$18)*100</x:f>
        <x:v>-0.7500698890565496</x:v>
      </x:c>
      <x:c r="F17" t="n">
        <x:f>D17/$D$18*100</x:f>
        <x:v>87.11336235779935</x:v>
      </x:c>
      <x:c r="G17" t="inlineStr">
        <x:is>
          <x:t xml:space="preserve">BEA via FRED</x:t>
        </x:is>
      </x:c>
      <x:c r="H17" t="inlineStr">
        <x:is>
          <x:t xml:space="preserve">DGOERC1A027NBEA; PCECA</x:t>
        </x:is>
      </x:c>
    </x:row>
    <x:row r="18">
      <x:c r="A18" s="225" t="n">
        <x:v>1980</x:v>
      </x:c>
      <x:c r="B18" s="225" t="n">
        <x:v>101.898</x:v>
      </x:c>
      <x:c r="C18" s="225" t="n">
        <x:v>1750.667</x:v>
      </x:c>
      <x:c r="D18" s="224" t="n">
        <x:f>B18/C18</x:f>
        <x:v>0.058205244058407456</x:v>
      </x:c>
      <x:c r="E18" t="n">
        <x:f>(D18-$D$18)*100</x:f>
        <x:v>0</x:v>
      </x:c>
      <x:c r="F18" t="n">
        <x:f>D18/$D$18*100</x:f>
        <x:v>100</x:v>
      </x:c>
      <x:c r="G18" t="inlineStr">
        <x:is>
          <x:t xml:space="preserve">BEA via FRED</x:t>
        </x:is>
      </x:c>
      <x:c r="H18" t="inlineStr">
        <x:is>
          <x:t xml:space="preserve">DGOERC1A027NBEA; PCECA</x:t>
        </x:is>
      </x:c>
    </x:row>
    <x:row r="19">
      <x:c r="A19" s="225" t="n">
        <x:v>1981</x:v>
      </x:c>
      <x:c r="B19" s="225" t="n">
        <x:v>113.443</x:v>
      </x:c>
      <x:c r="C19" s="225" t="n">
        <x:v>1933.951</x:v>
      </x:c>
      <x:c r="D19" s="224" t="n">
        <x:f>B19/C19</x:f>
        <x:v>0.0586586733583219</x:v>
      </x:c>
      <x:c r="E19" t="n">
        <x:f>(D19-$D$18)*100</x:f>
        <x:v>0.04534292999144457</x:v>
      </x:c>
      <x:c r="F19" t="n">
        <x:f>D19/$D$18*100</x:f>
        <x:v>100.77901795147434</x:v>
      </x:c>
      <x:c r="G19" t="inlineStr">
        <x:is>
          <x:t xml:space="preserve">BEA via FRED</x:t>
        </x:is>
      </x:c>
      <x:c r="H19" t="inlineStr">
        <x:is>
          <x:t xml:space="preserve">DGOERC1A027NBEA; PCECA</x:t>
        </x:is>
      </x:c>
    </x:row>
    <x:row r="20">
      <x:c r="A20" s="225" t="n">
        <x:v>1982</x:v>
      </x:c>
      <x:c r="B20" s="225" t="n">
        <x:v>108.35</x:v>
      </x:c>
      <x:c r="C20" s="225" t="n">
        <x:v>2071.256</x:v>
      </x:c>
      <x:c r="D20" s="224" t="n">
        <x:f>B20/C20</x:f>
        <x:v>0.052311254620384925</x:v>
      </x:c>
      <x:c r="E20" t="n">
        <x:f>(D20-$D$18)*100</x:f>
        <x:v>-0.589398943802253</x:v>
      </x:c>
      <x:c r="F20" t="n">
        <x:f>D20/$D$18*100</x:f>
        <x:v>89.87378279505526</x:v>
      </x:c>
      <x:c r="G20" t="inlineStr">
        <x:is>
          <x:t xml:space="preserve">BEA via FRED</x:t>
        </x:is>
      </x:c>
      <x:c r="H20" t="inlineStr">
        <x:is>
          <x:t xml:space="preserve">DGOERC1A027NBEA; PCECA</x:t>
        </x:is>
      </x:c>
    </x:row>
    <x:row r="21">
      <x:c r="A21" s="225" t="n">
        <x:v>1983</x:v>
      </x:c>
      <x:c r="B21" s="225" t="n">
        <x:v>106.456</x:v>
      </x:c>
      <x:c r="C21" s="225" t="n">
        <x:v>2281.605</x:v>
      </x:c>
      <x:c r="D21" s="224" t="n">
        <x:f>B21/C21</x:f>
        <x:v>0.046658383024230754</x:v>
      </x:c>
      <x:c r="E21" t="n">
        <x:f>(D21-$D$18)*100</x:f>
        <x:v>-1.15468610341767</x:v>
      </x:c>
      <x:c r="F21" t="n">
        <x:f>D21/$D$18*100</x:f>
        <x:v>80.16182008859936</x:v>
      </x:c>
      <x:c r="G21" t="inlineStr">
        <x:is>
          <x:t xml:space="preserve">BEA via FRED</x:t>
        </x:is>
      </x:c>
      <x:c r="H21" t="inlineStr">
        <x:is>
          <x:t xml:space="preserve">DGOERC1A027NBEA; PCECA</x:t>
        </x:is>
      </x:c>
    </x:row>
    <x:row r="22">
      <x:c r="A22" s="225" t="n">
        <x:v>1984</x:v>
      </x:c>
      <x:c r="B22" s="225" t="n">
        <x:v>108.201</x:v>
      </x:c>
      <x:c r="C22" s="225" t="n">
        <x:v>2492.34</x:v>
      </x:c>
      <x:c r="D22" s="224" t="n">
        <x:f>B22/C22</x:f>
        <x:v>0.04341341871494258</x:v>
      </x:c>
      <x:c r="E22" t="n">
        <x:f>(D22-$D$18)*100</x:f>
        <x:v>-1.4791825343464877</x:v>
      </x:c>
      <x:c r="F22" t="n">
        <x:f>D22/$D$18*100</x:f>
        <x:v>74.5867823720116</x:v>
      </x:c>
      <x:c r="G22" t="inlineStr">
        <x:is>
          <x:t xml:space="preserve">BEA via FRED</x:t>
        </x:is>
      </x:c>
      <x:c r="H22" t="inlineStr">
        <x:is>
          <x:t xml:space="preserve">DGOERC1A027NBEA; PCECA</x:t>
        </x:is>
      </x:c>
    </x:row>
    <x:row r="23">
      <x:c r="A23" s="225" t="n">
        <x:v>1985</x:v>
      </x:c>
      <x:c r="B23" s="225" t="n">
        <x:v>110.532</x:v>
      </x:c>
      <x:c r="C23" s="225" t="n">
        <x:v>2712.83</x:v>
      </x:c>
      <x:c r="D23" s="224" t="n">
        <x:f>B23/C23</x:f>
        <x:v>0.040744167529848906</x:v>
      </x:c>
      <x:c r="E23" t="n">
        <x:f>(D23-$D$18)*100</x:f>
        <x:v>-1.746107652855855</x:v>
      </x:c>
      <x:c r="F23" t="n">
        <x:f>D23/$D$18*100</x:f>
        <x:v>70.0008533405739</x:v>
      </x:c>
      <x:c r="G23" t="inlineStr">
        <x:is>
          <x:t xml:space="preserve">BEA via FRED</x:t>
        </x:is>
      </x:c>
      <x:c r="H23" t="inlineStr">
        <x:is>
          <x:t xml:space="preserve">DGOERC1A027NBEA; PCECA</x:t>
        </x:is>
      </x:c>
    </x:row>
    <x:row r="24">
      <x:c r="A24" s="225" t="n">
        <x:v>1986</x:v>
      </x:c>
      <x:c r="B24" s="225" t="n">
        <x:v>91.191</x:v>
      </x:c>
      <x:c r="C24" s="225" t="n">
        <x:v>2886.278</x:v>
      </x:c>
      <x:c r="D24" s="224" t="n">
        <x:f>B24/C24</x:f>
        <x:v>0.0315946696749239</x:v>
      </x:c>
      <x:c r="E24" t="n">
        <x:f>(D24-$D$18)*100</x:f>
        <x:v>-2.6610574383483554</x:v>
      </x:c>
      <x:c r="F24" t="n">
        <x:f>D24/$D$18*100</x:f>
        <x:v>54.281483027920075</x:v>
      </x:c>
      <x:c r="G24" t="inlineStr">
        <x:is>
          <x:t xml:space="preserve">BEA via FRED</x:t>
        </x:is>
      </x:c>
      <x:c r="H24" t="inlineStr">
        <x:is>
          <x:t xml:space="preserve">DGOERC1A027NBEA; PCECA</x:t>
        </x:is>
      </x:c>
    </x:row>
    <x:row r="25">
      <x:c r="A25" s="225" t="n">
        <x:v>1987</x:v>
      </x:c>
      <x:c r="B25" s="225" t="n">
        <x:v>96.369</x:v>
      </x:c>
      <x:c r="C25" s="225" t="n">
        <x:v>3076.279</x:v>
      </x:c>
      <x:c r="D25" s="224" t="n">
        <x:f>B25/C25</x:f>
        <x:v>0.031326482415931715</x:v>
      </x:c>
      <x:c r="E25" t="n">
        <x:f>(D25-$D$18)*100</x:f>
        <x:v>-2.687876164247574</x:v>
      </x:c>
      <x:c r="F25" t="n">
        <x:f>D25/$D$18*100</x:f>
        <x:v>53.820721693901675</x:v>
      </x:c>
      <x:c r="G25" t="inlineStr">
        <x:is>
          <x:t xml:space="preserve">BEA via FRED</x:t>
        </x:is>
      </x:c>
      <x:c r="H25" t="inlineStr">
        <x:is>
          <x:t xml:space="preserve">DGOERC1A027NBEA; PCECA</x:t>
        </x:is>
      </x:c>
    </x:row>
    <x:row r="26">
      <x:c r="A26" s="225" t="n">
        <x:v>1988</x:v>
      </x:c>
      <x:c r="B26" s="225" t="n">
        <x:v>99.84999999999999</x:v>
      </x:c>
      <x:c r="C26" s="225" t="n">
        <x:v>3330.012</x:v>
      </x:c>
      <x:c r="D26" s="224" t="n">
        <x:f>B26/C26</x:f>
        <x:v>0.02998487693137442</x:v>
      </x:c>
      <x:c r="E26" t="n">
        <x:f>(D26-$D$18)*100</x:f>
        <x:v>-2.8220367127033037</x:v>
      </x:c>
      <x:c r="F26" t="n">
        <x:f>D26/$D$18*100</x:f>
        <x:v>51.515765317099905</x:v>
      </x:c>
      <x:c r="G26" t="inlineStr">
        <x:is>
          <x:t xml:space="preserve">BEA via FRED</x:t>
        </x:is>
      </x:c>
      <x:c r="H26" t="inlineStr">
        <x:is>
          <x:t xml:space="preserve">DGOERC1A027NBEA; PCECA</x:t>
        </x:is>
      </x:c>
    </x:row>
    <x:row r="27">
      <x:c r="A27" s="225" t="n">
        <x:v>1989</x:v>
      </x:c>
      <x:c r="B27" s="225" t="n">
        <x:v>110.439</x:v>
      </x:c>
      <x:c r="C27" s="225" t="n">
        <x:v>3576.758</x:v>
      </x:c>
      <x:c r="D27" s="224" t="n">
        <x:f>B27/C27</x:f>
        <x:v>0.030876844337805354</x:v>
      </x:c>
      <x:c r="E27" t="n">
        <x:f>(D27-$D$18)*100</x:f>
        <x:v>-2.7328399720602103</x:v>
      </x:c>
      <x:c r="F27" t="n">
        <x:f>D27/$D$18*100</x:f>
        <x:v>53.04821728231436</x:v>
      </x:c>
      <x:c r="G27" t="inlineStr">
        <x:is>
          <x:t xml:space="preserve">BEA via FRED</x:t>
        </x:is>
      </x:c>
      <x:c r="H27" t="inlineStr">
        <x:is>
          <x:t xml:space="preserve">DGOERC1A027NBEA; PCECA</x:t>
        </x:is>
      </x:c>
    </x:row>
    <x:row r="28">
      <x:c r="A28" s="225" t="n">
        <x:v>1990</x:v>
      </x:c>
      <x:c r="B28" s="225" t="n">
        <x:v>124.199</x:v>
      </x:c>
      <x:c r="C28" s="225" t="n">
        <x:v>3808.994</x:v>
      </x:c>
      <x:c r="D28" s="224" t="n">
        <x:f>B28/C28</x:f>
        <x:v>0.032606772286855795</x:v>
      </x:c>
      <x:c r="E28" t="n">
        <x:f>(D28-$D$18)*100</x:f>
        <x:v>-2.559847177155166</x:v>
      </x:c>
      <x:c r="F28" t="n">
        <x:f>D28/$D$18*100</x:f>
        <x:v>56.020334274581415</x:v>
      </x:c>
      <x:c r="G28" t="inlineStr">
        <x:is>
          <x:t xml:space="preserve">BEA via FRED</x:t>
        </x:is>
      </x:c>
      <x:c r="H28" t="inlineStr">
        <x:is>
          <x:t xml:space="preserve">DGOERC1A027NBEA; PCECA</x:t>
        </x:is>
      </x:c>
    </x:row>
    <x:row r="29">
      <x:c r="A29" s="225" t="n">
        <x:v>1991</x:v>
      </x:c>
      <x:c r="B29" s="225" t="n">
        <x:v>121.129</x:v>
      </x:c>
      <x:c r="C29" s="225" t="n">
        <x:v>3943.449</x:v>
      </x:c>
      <x:c r="D29" s="224" t="n">
        <x:f>B29/C29</x:f>
        <x:v>0.030716512372798533</x:v>
      </x:c>
      <x:c r="E29" t="n">
        <x:f>(D29-$D$18)*100</x:f>
        <x:v>-2.7488731685608925</x:v>
      </x:c>
      <x:c r="F29" t="n">
        <x:f>D29/$D$18*100</x:f>
        <x:v>52.772757626401</x:v>
      </x:c>
      <x:c r="G29" t="inlineStr">
        <x:is>
          <x:t xml:space="preserve">BEA via FRED</x:t>
        </x:is>
      </x:c>
      <x:c r="H29" t="inlineStr">
        <x:is>
          <x:t xml:space="preserve">DGOERC1A027NBEA; PCECA</x:t>
        </x:is>
      </x:c>
    </x:row>
    <x:row r="30">
      <x:c r="A30" s="225" t="n">
        <x:v>1992</x:v>
      </x:c>
      <x:c r="B30" s="225" t="n">
        <x:v>125.008</x:v>
      </x:c>
      <x:c r="C30" s="225" t="n">
        <x:v>4197.559</x:v>
      </x:c>
      <x:c r="D30" s="224" t="n">
        <x:f>B30/C30</x:f>
        <x:v>0.029781118025976522</x:v>
      </x:c>
      <x:c r="E30" t="n">
        <x:f>(D30-$D$18)*100</x:f>
        <x:v>-2.842412603243093</x:v>
      </x:c>
      <x:c r="F30" t="n">
        <x:f>D30/$D$18*100</x:f>
        <x:v>51.16569564778723</x:v>
      </x:c>
      <x:c r="G30" t="inlineStr">
        <x:is>
          <x:t xml:space="preserve">BEA via FRED</x:t>
        </x:is>
      </x:c>
      <x:c r="H30" t="inlineStr">
        <x:is>
          <x:t xml:space="preserve">DGOERC1A027NBEA; PCECA</x:t>
        </x:is>
      </x:c>
    </x:row>
    <x:row r="31">
      <x:c r="A31" s="225" t="n">
        <x:v>1993</x:v>
      </x:c>
      <x:c r="B31" s="225" t="n">
        <x:v>126.882</x:v>
      </x:c>
      <x:c r="C31" s="225" t="n">
        <x:v>4451.984</x:v>
      </x:c>
      <x:c r="D31" s="224" t="n">
        <x:f>B31/C31</x:f>
        <x:v>0.02850010242624412</x:v>
      </x:c>
      <x:c r="E31" t="n">
        <x:f>(D31-$D$18)*100</x:f>
        <x:v>-2.9705141632163334</x:v>
      </x:c>
      <x:c r="F31" t="n">
        <x:f>D31/$D$18*100</x:f>
        <x:v>48.964836222737944</x:v>
      </x:c>
      <x:c r="G31" t="inlineStr">
        <x:is>
          <x:t xml:space="preserve">BEA via FRED</x:t>
        </x:is>
      </x:c>
      <x:c r="H31" t="inlineStr">
        <x:is>
          <x:t xml:space="preserve">DGOERC1A027NBEA; PCECA</x:t>
        </x:is>
      </x:c>
    </x:row>
    <x:row r="32">
      <x:c r="A32" s="225" t="n">
        <x:v>1994</x:v>
      </x:c>
      <x:c r="B32" s="225" t="n">
        <x:v>129.231</x:v>
      </x:c>
      <x:c r="C32" s="225" t="n">
        <x:v>4720.965</x:v>
      </x:c>
      <x:c r="D32" s="224" t="n">
        <x:f>B32/C32</x:f>
        <x:v>0.027373852591578204</x:v>
      </x:c>
      <x:c r="E32" t="n">
        <x:f>(D32-$D$18)*100</x:f>
        <x:v>-3.083139146682925</x:v>
      </x:c>
      <x:c r="F32" t="n">
        <x:f>D32/$D$18*100</x:f>
        <x:v>47.02987339784926</x:v>
      </x:c>
      <x:c r="G32" t="inlineStr">
        <x:is>
          <x:t xml:space="preserve">BEA via FRED</x:t>
        </x:is>
      </x:c>
      <x:c r="H32" t="inlineStr">
        <x:is>
          <x:t xml:space="preserve">DGOERC1A027NBEA; PCECA</x:t>
        </x:is>
      </x:c>
    </x:row>
    <x:row r="33">
      <x:c r="A33" s="225" t="n">
        <x:v>1995</x:v>
      </x:c>
      <x:c r="B33" s="225" t="n">
        <x:v>133.404</x:v>
      </x:c>
      <x:c r="C33" s="225" t="n">
        <x:v>4962.59</x:v>
      </x:c>
      <x:c r="D33" s="224" t="n">
        <x:f>B33/C33</x:f>
        <x:v>0.026881930604784998</x:v>
      </x:c>
      <x:c r="E33" t="n">
        <x:f>(D33-$D$18)*100</x:f>
        <x:v>-3.1323313453622457</x:v>
      </x:c>
      <x:c r="F33" t="n">
        <x:f>D33/$D$18*100</x:f>
        <x:v>46.18472276795142</x:v>
      </x:c>
      <x:c r="G33" t="inlineStr">
        <x:is>
          <x:t xml:space="preserve">BEA via FRED</x:t>
        </x:is>
      </x:c>
      <x:c r="H33" t="inlineStr">
        <x:is>
          <x:t xml:space="preserve">DGOERC1A027NBEA; PCECA</x:t>
        </x:is>
      </x:c>
    </x:row>
    <x:row r="34">
      <x:c r="A34" s="225" t="n">
        <x:v>1996</x:v>
      </x:c>
      <x:c r="B34" s="225" t="n">
        <x:v>144.745</x:v>
      </x:c>
      <x:c r="C34" s="225" t="n">
        <x:v>5244.596</x:v>
      </x:c>
      <x:c r="D34" s="224" t="n">
        <x:f>B34/C34</x:f>
        <x:v>0.027598884642401438</x:v>
      </x:c>
      <x:c r="E34" t="n">
        <x:f>(D34-$D$18)*100</x:f>
        <x:v>-3.060635941600602</x:v>
      </x:c>
      <x:c r="F34" t="n">
        <x:f>D34/$D$18*100</x:f>
        <x:v>47.416491570255545</x:v>
      </x:c>
      <x:c r="G34" t="inlineStr">
        <x:is>
          <x:t xml:space="preserve">BEA via FRED</x:t>
        </x:is>
      </x:c>
      <x:c r="H34" t="inlineStr">
        <x:is>
          <x:t xml:space="preserve">DGOERC1A027NBEA; PCECA</x:t>
        </x:is>
      </x:c>
    </x:row>
    <x:row r="35">
      <x:c r="A35" s="225" t="n">
        <x:v>1997</x:v>
      </x:c>
      <x:c r="B35" s="225" t="n">
        <x:v>147.661</x:v>
      </x:c>
      <x:c r="C35" s="225" t="n">
        <x:v>5536.79</x:v>
      </x:c>
      <x:c r="D35" s="224" t="n">
        <x:f>B35/C35</x:f>
        <x:v>0.026669062760191375</x:v>
      </x:c>
      <x:c r="E35" t="n">
        <x:f>(D35-$D$18)*100</x:f>
        <x:v>-3.153618129821608</x:v>
      </x:c>
      <x:c r="F35" t="n">
        <x:f>D35/$D$18*100</x:f>
        <x:v>45.81900341046532</x:v>
      </x:c>
      <x:c r="G35" t="inlineStr">
        <x:is>
          <x:t xml:space="preserve">BEA via FRED</x:t>
        </x:is>
      </x:c>
      <x:c r="H35" t="inlineStr">
        <x:is>
          <x:t xml:space="preserve">DGOERC1A027NBEA; PCECA</x:t>
        </x:is>
      </x:c>
    </x:row>
    <x:row r="36">
      <x:c r="A36" s="225" t="n">
        <x:v>1998</x:v>
      </x:c>
      <x:c r="B36" s="225" t="n">
        <x:v>132.355</x:v>
      </x:c>
      <x:c r="C36" s="225" t="n">
        <x:v>5877.248</x:v>
      </x:c>
      <x:c r="D36" s="224" t="n">
        <x:f>B36/C36</x:f>
        <x:v>0.022519893664517815</x:v>
      </x:c>
      <x:c r="E36" t="n">
        <x:f>(D36-$D$18)*100</x:f>
        <x:v>-3.568535039388964</x:v>
      </x:c>
      <x:c r="F36" t="n">
        <x:f>D36/$D$18*100</x:f>
        <x:v>38.69048919702095</x:v>
      </x:c>
      <x:c r="G36" t="inlineStr">
        <x:is>
          <x:t xml:space="preserve">BEA via FRED</x:t>
        </x:is>
      </x:c>
      <x:c r="H36" t="inlineStr">
        <x:is>
          <x:t xml:space="preserve">DGOERC1A027NBEA; PCECA</x:t>
        </x:is>
      </x:c>
    </x:row>
    <x:row r="37">
      <x:c r="A37" s="225" t="n">
        <x:v>1999</x:v>
      </x:c>
      <x:c r="B37" s="225" t="n">
        <x:v>146.545</x:v>
      </x:c>
      <x:c r="C37" s="225" t="n">
        <x:v>6283.758</x:v>
      </x:c>
      <x:c r="D37" s="224" t="n">
        <x:f>B37/C37</x:f>
        <x:v>0.023321235477241485</x:v>
      </x:c>
      <x:c r="E37" t="n">
        <x:f>(D37-$D$18)*100</x:f>
        <x:v>-3.488400858116597</x:v>
      </x:c>
      <x:c r="F37" t="n">
        <x:f>D37/$D$18*100</x:f>
        <x:v>40.06724111291283</x:v>
      </x:c>
      <x:c r="G37" t="inlineStr">
        <x:is>
          <x:t xml:space="preserve">BEA via FRED</x:t>
        </x:is>
      </x:c>
      <x:c r="H37" t="inlineStr">
        <x:is>
          <x:t xml:space="preserve">DGOERC1A027NBEA; PCECA</x:t>
        </x:is>
      </x:c>
    </x:row>
    <x:row r="38">
      <x:c r="A38" s="225" t="n">
        <x:v>2000</x:v>
      </x:c>
      <x:c r="B38" s="225" t="n">
        <x:v>184.516</x:v>
      </x:c>
      <x:c r="C38" s="225" t="n">
        <x:v>6767.179</x:v>
      </x:c>
      <x:c r="D38" s="224" t="n">
        <x:f>B38/C38</x:f>
        <x:v>0.027266309935055653</x:v>
      </x:c>
      <x:c r="E38" t="n">
        <x:f>(D38-$D$18)*100</x:f>
        <x:v>-3.0938934123351802</x:v>
      </x:c>
      <x:c r="F38" t="n">
        <x:f>D38/$D$18*100</x:f>
        <x:v>46.845108849117814</x:v>
      </x:c>
      <x:c r="G38" t="inlineStr">
        <x:is>
          <x:t xml:space="preserve">BEA via FRED</x:t>
        </x:is>
      </x:c>
      <x:c r="H38" t="inlineStr">
        <x:is>
          <x:t xml:space="preserve">DGOERC1A027NBEA; PCECA</x:t>
        </x:is>
      </x:c>
    </x:row>
    <x:row r="39">
      <x:c r="A39" s="225" t="n">
        <x:v>2001</x:v>
      </x:c>
      <x:c r="B39" s="225" t="n">
        <x:v>177.986</x:v>
      </x:c>
      <x:c r="C39" s="225" t="n">
        <x:v>7073.801</x:v>
      </x:c>
      <x:c r="D39" s="224" t="n">
        <x:f>B39/C39</x:f>
        <x:v>0.025161295886044856</x:v>
      </x:c>
      <x:c r="E39" t="n">
        <x:f>(D39-$D$18)*100</x:f>
        <x:v>-3.30439481723626</x:v>
      </x:c>
      <x:c r="F39" t="n">
        <x:f>D39/$D$18*100</x:f>
        <x:v>43.228572086728384</x:v>
      </x:c>
      <x:c r="G39" t="inlineStr">
        <x:is>
          <x:t xml:space="preserve">BEA via FRED</x:t>
        </x:is>
      </x:c>
      <x:c r="H39" t="inlineStr">
        <x:is>
          <x:t xml:space="preserve">DGOERC1A027NBEA; PCECA</x:t>
        </x:is>
      </x:c>
    </x:row>
    <x:row r="40">
      <x:c r="A40" s="225" t="n">
        <x:v>2002</x:v>
      </x:c>
      <x:c r="B40" s="225" t="n">
        <x:v>167.9</x:v>
      </x:c>
      <x:c r="C40" s="225" t="n">
        <x:v>7348.941</x:v>
      </x:c>
      <x:c r="D40" s="224" t="n">
        <x:f>B40/C40</x:f>
        <x:v>0.022846829223421444</x:v>
      </x:c>
      <x:c r="E40" t="n">
        <x:f>(D40-$D$18)*100</x:f>
        <x:v>-3.5358414834986016</x:v>
      </x:c>
      <x:c r="F40" t="n">
        <x:f>D40/$D$18*100</x:f>
        <x:v>39.25218353263023</x:v>
      </x:c>
      <x:c r="G40" t="inlineStr">
        <x:is>
          <x:t xml:space="preserve">BEA via FRED</x:t>
        </x:is>
      </x:c>
      <x:c r="H40" t="inlineStr">
        <x:is>
          <x:t xml:space="preserve">DGOERC1A027NBEA; PCECA</x:t>
        </x:is>
      </x:c>
    </x:row>
    <x:row r="41">
      <x:c r="A41" s="225" t="n">
        <x:v>2003</x:v>
      </x:c>
      <x:c r="B41" s="225" t="n">
        <x:v>196.412</x:v>
      </x:c>
      <x:c r="C41" s="225" t="n">
        <x:v>7740.749</x:v>
      </x:c>
      <x:c r="D41" s="224" t="n">
        <x:f>B41/C41</x:f>
        <x:v>0.025373771969611728</x:v>
      </x:c>
      <x:c r="E41" t="n">
        <x:f>(D41-$D$18)*100</x:f>
        <x:v>-3.283147208879573</x:v>
      </x:c>
      <x:c r="F41" t="n">
        <x:f>D41/$D$18*100</x:f>
        <x:v>43.59361837594874</x:v>
      </x:c>
      <x:c r="G41" t="inlineStr">
        <x:is>
          <x:t xml:space="preserve">BEA via FRED</x:t>
        </x:is>
      </x:c>
      <x:c r="H41" t="inlineStr">
        <x:is>
          <x:t xml:space="preserve">DGOERC1A027NBEA; PCECA</x:t>
        </x:is>
      </x:c>
    </x:row>
    <x:row r="42">
      <x:c r="A42" s="225" t="n">
        <x:v>2004</x:v>
      </x:c>
      <x:c r="B42" s="225" t="n">
        <x:v>232.732</x:v>
      </x:c>
      <x:c r="C42" s="225" t="n">
        <x:v>8231.959999999999</x:v>
      </x:c>
      <x:c r="D42" s="224" t="n">
        <x:f>B42/C42</x:f>
        <x:v>0.028271760309816863</x:v>
      </x:c>
      <x:c r="E42" t="n">
        <x:f>(D42-$D$18)*100</x:f>
        <x:v>-2.9933483748590595</x:v>
      </x:c>
      <x:c r="F42" t="n">
        <x:f>D42/$D$18*100</x:f>
        <x:v>48.572531164798285</x:v>
      </x:c>
      <x:c r="G42" t="inlineStr">
        <x:is>
          <x:t xml:space="preserve">BEA via FRED</x:t>
        </x:is>
      </x:c>
      <x:c r="H42" t="inlineStr">
        <x:is>
          <x:t xml:space="preserve">DGOERC1A027NBEA; PCECA</x:t>
        </x:is>
      </x:c>
    </x:row>
    <x:row r="43">
      <x:c r="A43" s="225" t="n">
        <x:v>2005</x:v>
      </x:c>
      <x:c r="B43" s="225" t="n">
        <x:v>283.77</x:v>
      </x:c>
      <x:c r="C43" s="225" t="n">
        <x:v>8769.066000000001</x:v>
      </x:c>
      <x:c r="D43" s="224" t="n">
        <x:f>B43/C43</x:f>
        <x:v>0.03236034487595372</x:v>
      </x:c>
      <x:c r="E43" t="n">
        <x:f>(D43-$D$18)*100</x:f>
        <x:v>-2.5844899182453736</x:v>
      </x:c>
      <x:c r="F43" t="n">
        <x:f>D43/$D$18*100</x:f>
        <x:v>55.59695762718725</x:v>
      </x:c>
      <x:c r="G43" t="inlineStr">
        <x:is>
          <x:t xml:space="preserve">BEA via FRED</x:t>
        </x:is>
      </x:c>
      <x:c r="H43" t="inlineStr">
        <x:is>
          <x:t xml:space="preserve">DGOERC1A027NBEA; PCECA</x:t>
        </x:is>
      </x:c>
    </x:row>
    <x:row r="44">
      <x:c r="A44" s="225" t="n">
        <x:v>2006</x:v>
      </x:c>
      <x:c r="B44" s="225" t="n">
        <x:v>319.65</x:v>
      </x:c>
      <x:c r="C44" s="225" t="n">
        <x:v>9277.236000000001</x:v>
      </x:c>
      <x:c r="D44" s="224" t="n">
        <x:f>B44/C44</x:f>
        <x:v>0.03445530543795587</x:v>
      </x:c>
      <x:c r="E44" t="n">
        <x:f>(D44-$D$18)*100</x:f>
        <x:v>-2.3749938620451583</x:v>
      </x:c>
      <x:c r="F44" t="n">
        <x:f>D44/$D$18*100</x:f>
        <x:v>59.196221913236656</x:v>
      </x:c>
      <x:c r="G44" t="inlineStr">
        <x:is>
          <x:t xml:space="preserve">BEA via FRED</x:t>
        </x:is>
      </x:c>
      <x:c r="H44" t="inlineStr">
        <x:is>
          <x:t xml:space="preserve">DGOERC1A027NBEA; PCECA</x:t>
        </x:is>
      </x:c>
    </x:row>
    <x:row r="45">
      <x:c r="A45" s="225" t="n">
        <x:v>2007</x:v>
      </x:c>
      <x:c r="B45" s="225" t="n">
        <x:v>345.547</x:v>
      </x:c>
      <x:c r="C45" s="225" t="n">
        <x:v>9746.593999999999</x:v>
      </x:c>
      <x:c r="D45" s="224" t="n">
        <x:f>B45/C45</x:f>
        <x:v>0.03545310289933079</x:v>
      </x:c>
      <x:c r="E45" t="n">
        <x:f>(D45-$D$18)*100</x:f>
        <x:v>-2.2752141159076666</x:v>
      </x:c>
      <x:c r="F45" t="n">
        <x:f>D45/$D$18*100</x:f>
        <x:v>60.91049607790412</x:v>
      </x:c>
      <x:c r="G45" t="inlineStr">
        <x:is>
          <x:t xml:space="preserve">BEA via FRED</x:t>
        </x:is>
      </x:c>
      <x:c r="H45" t="inlineStr">
        <x:is>
          <x:t xml:space="preserve">DGOERC1A027NBEA; PCECA</x:t>
        </x:is>
      </x:c>
    </x:row>
    <x:row r="46">
      <x:c r="A46" s="225" t="n">
        <x:v>2008</x:v>
      </x:c>
      <x:c r="B46" s="225" t="n">
        <x:v>391.089</x:v>
      </x:c>
      <x:c r="C46" s="225" t="n">
        <x:v>10050.083</x:v>
      </x:c>
      <x:c r="D46" s="224" t="n">
        <x:f>B46/C46</x:f>
        <x:v>0.03891400697884784</x:v>
      </x:c>
      <x:c r="E46" t="n">
        <x:f>(D46-$D$18)*100</x:f>
        <x:v>-1.9291237079559618</x:v>
      </x:c>
      <x:c r="F46" t="n">
        <x:f>D46/$D$18*100</x:f>
        <x:v>66.85653089917231</x:v>
      </x:c>
      <x:c r="G46" t="inlineStr">
        <x:is>
          <x:t xml:space="preserve">BEA via FRED</x:t>
        </x:is>
      </x:c>
      <x:c r="H46" t="inlineStr">
        <x:is>
          <x:t xml:space="preserve">DGOERC1A027NBEA; PCECA</x:t>
        </x:is>
      </x:c>
    </x:row>
    <x:row r="47">
      <x:c r="A47" s="225" t="n">
        <x:v>2009</x:v>
      </x:c>
      <x:c r="B47" s="225" t="n">
        <x:v>287.027</x:v>
      </x:c>
      <x:c r="C47" s="225" t="n">
        <x:v>9891.218000000001</x:v>
      </x:c>
      <x:c r="D47" s="224" t="n">
        <x:f>B47/C47</x:f>
        <x:v>0.02901836760649699</x:v>
      </x:c>
      <x:c r="E47" t="n">
        <x:f>(D47-$D$18)*100</x:f>
        <x:v>-2.9186876451910466</x:v>
      </x:c>
      <x:c r="F47" t="n">
        <x:f>D47/$D$18*100</x:f>
        <x:v>49.855245993604655</x:v>
      </x:c>
      <x:c r="G47" t="inlineStr">
        <x:is>
          <x:t xml:space="preserve">BEA via FRED</x:t>
        </x:is>
      </x:c>
      <x:c r="H47" t="inlineStr">
        <x:is>
          <x:t xml:space="preserve">DGOERC1A027NBEA; PCECA</x:t>
        </x:is>
      </x:c>
    </x:row>
    <x:row r="48">
      <x:c r="A48" s="225" t="n">
        <x:v>2010</x:v>
      </x:c>
      <x:c r="B48" s="225" t="n">
        <x:v>336.718</x:v>
      </x:c>
      <x:c r="C48" s="225" t="n">
        <x:v>10260.256</x:v>
      </x:c>
      <x:c r="D48" s="224" t="n">
        <x:f>B48/C48</x:f>
        <x:v>0.03281769967532974</x:v>
      </x:c>
      <x:c r="E48" t="n">
        <x:f>(D48-$D$18)*100</x:f>
        <x:v>-2.5387544383077714</x:v>
      </x:c>
      <x:c r="F48" t="n">
        <x:f>D48/$D$18*100</x:f>
        <x:v>56.38271981541394</x:v>
      </x:c>
      <x:c r="G48" t="inlineStr">
        <x:is>
          <x:t xml:space="preserve">BEA via FRED</x:t>
        </x:is>
      </x:c>
      <x:c r="H48" t="inlineStr">
        <x:is>
          <x:t xml:space="preserve">DGOERC1A027NBEA; PCECA</x:t>
        </x:is>
      </x:c>
    </x:row>
    <x:row r="49">
      <x:c r="A49" s="225" t="n">
        <x:v>2011</x:v>
      </x:c>
      <x:c r="B49" s="225" t="n">
        <x:v>413.801</x:v>
      </x:c>
      <x:c r="C49" s="225" t="n">
        <x:v>10698.857</x:v>
      </x:c>
      <x:c r="D49" s="224" t="n">
        <x:f>B49/C49</x:f>
        <x:v>0.0386771222383849</x:v>
      </x:c>
      <x:c r="E49" t="n">
        <x:f>(D49-$D$18)*100</x:f>
        <x:v>-1.9528121820022553</x:v>
      </x:c>
      <x:c r="F49" t="n">
        <x:f>D49/$D$18*100</x:f>
        <x:v>66.4495491154945</x:v>
      </x:c>
      <x:c r="G49" t="inlineStr">
        <x:is>
          <x:t xml:space="preserve">BEA via FRED</x:t>
        </x:is>
      </x:c>
      <x:c r="H49" t="inlineStr">
        <x:is>
          <x:t xml:space="preserve">DGOERC1A027NBEA; PCECA</x:t>
        </x:is>
      </x:c>
    </x:row>
    <x:row r="50">
      <x:c r="A50" s="225" t="n">
        <x:v>2012</x:v>
      </x:c>
      <x:c r="B50" s="225" t="n">
        <x:v>421.935</x:v>
      </x:c>
      <x:c r="C50" s="225" t="n">
        <x:v>11047.363</x:v>
      </x:c>
      <x:c r="D50" s="224" t="n">
        <x:f>B50/C50</x:f>
        <x:v>0.03819327743643438</x:v>
      </x:c>
      <x:c r="E50" t="n">
        <x:f>(D50-$D$18)*100</x:f>
        <x:v>-2.001196662197308</x:v>
      </x:c>
      <x:c r="F50" t="n">
        <x:f>D50/$D$18*100</x:f>
        <x:v>65.6182755596874</x:v>
      </x:c>
      <x:c r="G50" t="inlineStr">
        <x:is>
          <x:t xml:space="preserve">BEA via FRED</x:t>
        </x:is>
      </x:c>
      <x:c r="H50" t="inlineStr">
        <x:is>
          <x:t xml:space="preserve">DGOERC1A027NBEA; PCECA</x:t>
        </x:is>
      </x:c>
    </x:row>
    <x:row r="51">
      <x:c r="A51" s="225" t="n">
        <x:v>2013</x:v>
      </x:c>
      <x:c r="B51" s="225" t="n">
        <x:v>421.623</x:v>
      </x:c>
      <x:c r="C51" s="225" t="n">
        <x:v>11388.233</x:v>
      </x:c>
      <x:c r="D51" s="224" t="n">
        <x:f>B51/C51</x:f>
        <x:v>0.03702268824320683</x:v>
      </x:c>
      <x:c r="E51" t="n">
        <x:f>(D51-$D$18)*100</x:f>
        <x:v>-2.1182555815200628</x:v>
      </x:c>
      <x:c r="F51" t="n">
        <x:f>D51/$D$18*100</x:f>
        <x:v>63.60713513383007</x:v>
      </x:c>
      <x:c r="G51" t="inlineStr">
        <x:is>
          <x:t xml:space="preserve">BEA via FRED</x:t>
        </x:is>
      </x:c>
      <x:c r="H51" t="inlineStr">
        <x:is>
          <x:t xml:space="preserve">DGOERC1A027NBEA; PCECA</x:t>
        </x:is>
      </x:c>
    </x:row>
    <x:row r="52">
      <x:c r="A52" s="225" t="n">
        <x:v>2014</x:v>
      </x:c>
      <x:c r="B52" s="225" t="n">
        <x:v>410.907</x:v>
      </x:c>
      <x:c r="C52" s="225" t="n">
        <x:v>11874.45</x:v>
      </x:c>
      <x:c r="D52" s="224" t="n">
        <x:f>B52/C52</x:f>
        <x:v>0.034604297462198244</x:v>
      </x:c>
      <x:c r="E52" t="n">
        <x:f>(D52-$D$18)*100</x:f>
        <x:v>-2.360094659620921</x:v>
      </x:c>
      <x:c r="F52" t="n">
        <x:f>D52/$D$18*100</x:f>
        <x:v>59.45219889031601</x:v>
      </x:c>
      <x:c r="G52" t="inlineStr">
        <x:is>
          <x:t xml:space="preserve">BEA via FRED</x:t>
        </x:is>
      </x:c>
      <x:c r="H52" t="inlineStr">
        <x:is>
          <x:t xml:space="preserve">DGOERC1A027NBEA; PCECA</x:t>
        </x:is>
      </x:c>
    </x:row>
    <x:row r="53">
      <x:c r="A53" s="225" t="n">
        <x:v>2015</x:v>
      </x:c>
      <x:c r="B53" s="225" t="n">
        <x:v>318.796</x:v>
      </x:c>
      <x:c r="C53" s="225" t="n">
        <x:v>12297.438</x:v>
      </x:c>
      <x:c r="D53" s="224" t="n">
        <x:f>B53/C53</x:f>
        <x:v>0.025923773716118755</x:v>
      </x:c>
      <x:c r="E53" t="n">
        <x:f>(D53-$D$18)*100</x:f>
        <x:v>-3.2281470342288703</x:v>
      </x:c>
      <x:c r="F53" t="n">
        <x:f>D53/$D$18*100</x:f>
        <x:v>44.53855341643258</x:v>
      </x:c>
      <x:c r="G53" t="inlineStr">
        <x:is>
          <x:t xml:space="preserve">BEA via FRED</x:t>
        </x:is>
      </x:c>
      <x:c r="H53" t="inlineStr">
        <x:is>
          <x:t xml:space="preserve">DGOERC1A027NBEA; PCECA</x:t>
        </x:is>
      </x:c>
    </x:row>
    <x:row r="54">
      <x:c r="A54" s="225" t="n">
        <x:v>2016</x:v>
      </x:c>
      <x:c r="B54" s="225" t="n">
        <x:v>287.015</x:v>
      </x:c>
      <x:c r="C54" s="225" t="n">
        <x:v>12726.849</x:v>
      </x:c>
      <x:c r="D54" s="224" t="n">
        <x:f>B54/C54</x:f>
        <x:v>0.022551929389592034</x:v>
      </x:c>
      <x:c r="E54" t="n">
        <x:f>(D54-$D$18)*100</x:f>
        <x:v>-3.5653314668815423</x:v>
      </x:c>
      <x:c r="F54" t="n">
        <x:f>D54/$D$18*100</x:f>
        <x:v>38.74552843891825</x:v>
      </x:c>
      <x:c r="G54" t="inlineStr">
        <x:is>
          <x:t xml:space="preserve">BEA via FRED</x:t>
        </x:is>
      </x:c>
      <x:c r="H54" t="inlineStr">
        <x:is>
          <x:t xml:space="preserve">DGOERC1A027NBEA; PCECA</x:t>
        </x:is>
      </x:c>
    </x:row>
    <x:row r="55">
      <x:c r="A55" s="225" t="n">
        <x:v>2017</x:v>
      </x:c>
      <x:c r="B55" s="225" t="n">
        <x:v>323.983</x:v>
      </x:c>
      <x:c r="C55" s="225" t="n">
        <x:v>13290.626</x:v>
      </x:c>
      <x:c r="D55" s="224" t="n">
        <x:f>B55/C55</x:f>
        <x:v>0.02437680512565774</x:v>
      </x:c>
      <x:c r="E55" t="n">
        <x:f>(D55-$D$18)*100</x:f>
        <x:v>-3.382843893274971</x:v>
      </x:c>
      <x:c r="F55" t="n">
        <x:f>D55/$D$18*100</x:f>
        <x:v>41.88077126039751</x:v>
      </x:c>
      <x:c r="G55" t="inlineStr">
        <x:is>
          <x:t xml:space="preserve">BEA via FRED</x:t>
        </x:is>
      </x:c>
      <x:c r="H55" t="inlineStr">
        <x:is>
          <x:t xml:space="preserve">DGOERC1A027NBEA; PCECA</x:t>
        </x:is>
      </x:c>
    </x:row>
    <x:row r="56">
      <x:c r="A56" s="225" t="n">
        <x:v>2018</x:v>
      </x:c>
      <x:c r="B56" s="225" t="n">
        <x:v>366.675</x:v>
      </x:c>
      <x:c r="C56" s="225" t="n">
        <x:v>13934.442</x:v>
      </x:c>
      <x:c r="D56" s="224" t="n">
        <x:f>B56/C56</x:f>
        <x:v>0.026314293747822844</x:v>
      </x:c>
      <x:c r="E56" t="n">
        <x:f>(D56-$D$18)*100</x:f>
        <x:v>-3.1890950310584616</x:v>
      </x:c>
      <x:c r="F56" t="n">
        <x:f>D56/$D$18*100</x:f>
        <x:v>45.20948958038408</x:v>
      </x:c>
      <x:c r="G56" t="inlineStr">
        <x:is>
          <x:t xml:space="preserve">BEA via FRED</x:t>
        </x:is>
      </x:c>
      <x:c r="H56" t="inlineStr">
        <x:is>
          <x:t xml:space="preserve">DGOERC1A027NBEA; PCECA</x:t>
        </x:is>
      </x:c>
    </x:row>
    <x:row r="57">
      <x:c r="A57" s="225" t="n">
        <x:v>2019</x:v>
      </x:c>
      <x:c r="B57" s="225" t="n">
        <x:v>352.512</x:v>
      </x:c>
      <x:c r="C57" s="225" t="n">
        <x:v>14437.543</x:v>
      </x:c>
      <x:c r="D57" s="224" t="n">
        <x:f>B57/C57</x:f>
        <x:v>0.024416342863879264</x:v>
      </x:c>
      <x:c r="E57" t="n">
        <x:f>(D57-$D$18)*100</x:f>
        <x:v>-3.3788901194528194</x:v>
      </x:c>
      <x:c r="F57" t="n">
        <x:f>D57/$D$18*100</x:f>
        <x:v>41.948699397906644</x:v>
      </x:c>
      <x:c r="G57" t="inlineStr">
        <x:is>
          <x:t xml:space="preserve">BEA via FRED</x:t>
        </x:is>
      </x:c>
      <x:c r="H57" t="inlineStr">
        <x:is>
          <x:t xml:space="preserve">DGOERC1A027NBEA; PCECA</x:t>
        </x:is>
      </x:c>
    </x:row>
    <x:row r="58">
      <x:c r="A58" s="225" t="n">
        <x:v>2020</x:v>
      </x:c>
      <x:c r="B58" s="225" t="n">
        <x:v>258.458</x:v>
      </x:c>
      <x:c r="C58" s="225" t="n">
        <x:v>14231.353</x:v>
      </x:c>
      <x:c r="D58" s="224" t="n">
        <x:f>B58/C58</x:f>
        <x:v>0.01816116851293057</x:v>
      </x:c>
      <x:c r="E58" t="n">
        <x:f>(D58-$D$18)*100</x:f>
        <x:v>-4.004407554547688</x:v>
      </x:c>
      <x:c r="F58" t="n">
        <x:f>D58/$D$18*100</x:f>
        <x:v>31.201945471968656</x:v>
      </x:c>
      <x:c r="G58" t="inlineStr">
        <x:is>
          <x:t xml:space="preserve">BEA via FRED</x:t>
        </x:is>
      </x:c>
      <x:c r="H58" t="inlineStr">
        <x:is>
          <x:t xml:space="preserve">DGOERC1A027NBEA; PCECA</x:t>
        </x:is>
      </x:c>
    </x:row>
    <x:row r="59">
      <x:c r="A59" s="225" t="n">
        <x:v>2021</x:v>
      </x:c>
      <x:c r="B59" s="225" t="n">
        <x:v>385.743</x:v>
      </x:c>
      <x:c r="C59" s="225" t="n">
        <x:v>16114.831</x:v>
      </x:c>
      <x:c r="D59" s="224" t="n">
        <x:f>B59/C59</x:f>
        <x:v>0.023937142127025718</x:v>
      </x:c>
      <x:c r="E59" t="n">
        <x:f>(D59-$D$18)*100</x:f>
        <x:v>-3.4268101931381736</x:v>
      </x:c>
      <x:c r="F59" t="n">
        <x:f>D59/$D$18*100</x:f>
        <x:v>41.12540461647307</x:v>
      </x:c>
      <x:c r="G59" t="inlineStr">
        <x:is>
          <x:t xml:space="preserve">BEA via FRED</x:t>
        </x:is>
      </x:c>
      <x:c r="H59" t="inlineStr">
        <x:is>
          <x:t xml:space="preserve">DGOERC1A027NBEA; PCECA</x:t>
        </x:is>
      </x:c>
    </x:row>
    <x:row r="60">
      <x:c r="A60" s="225" t="n">
        <x:v>2022</x:v>
      </x:c>
      <x:c r="B60" s="225" t="n">
        <x:v>514.604</x:v>
      </x:c>
      <x:c r="C60" s="225" t="n">
        <x:v>17670.764</x:v>
      </x:c>
      <x:c r="D60" s="224" t="n">
        <x:f>B60/C60</x:f>
        <x:v>0.029121774248130984</x:v>
      </x:c>
      <x:c r="E60" t="n">
        <x:f>(D60-$D$18)*100</x:f>
        <x:v>-2.908346981027647</x:v>
      </x:c>
      <x:c r="F60" t="n">
        <x:f>D60/$D$18*100</x:f>
        <x:v>50.03290462781676</x:v>
      </x:c>
      <x:c r="G60" t="inlineStr">
        <x:is>
          <x:t xml:space="preserve">BEA via FRED</x:t>
        </x:is>
      </x:c>
      <x:c r="H60" t="inlineStr">
        <x:is>
          <x:t xml:space="preserve">DGOERC1A027NBEA; PCECA</x:t>
        </x:is>
      </x:c>
    </x:row>
    <x:row r="61">
      <x:c r="A61" s="225" t="n">
        <x:v>2023</x:v>
      </x:c>
      <x:c r="B61" s="225" t="n">
        <x:v>464.897</x:v>
      </x:c>
      <x:c r="C61" s="225" t="n">
        <x:v>18772.629</x:v>
      </x:c>
      <x:c r="D61" s="224" t="n">
        <x:f>B61/C61</x:f>
        <x:v>0.02476461874359739</x:v>
      </x:c>
      <x:c r="E61" t="n">
        <x:f>(D61-$D$18)*100</x:f>
        <x:v>-3.344062531481007</x:v>
      </x:c>
      <x:c r="F61" t="n">
        <x:f>D61/$D$18*100</x:f>
        <x:v>42.54705764784138</x:v>
      </x:c>
      <x:c r="G61" t="inlineStr">
        <x:is>
          <x:t xml:space="preserve">BEA via FRED</x:t>
        </x:is>
      </x:c>
      <x:c r="H61" t="inlineStr">
        <x:is>
          <x:t xml:space="preserve">DGOERC1A027NBEA; PCECA</x:t>
        </x:is>
      </x:c>
    </x:row>
    <x:row r="62">
      <x:c r="A62" s="225" t="n">
        <x:v>2024</x:v>
      </x:c>
      <x:c r="B62" s="225" t="n">
        <x:v>441.625</x:v>
      </x:c>
      <x:c r="C62" s="225" t="n">
        <x:v>19822.499</x:v>
      </x:c>
      <x:c r="D62" s="224" t="n">
        <x:f>B62/C62</x:f>
        <x:v>0.02227897703513568</x:v>
      </x:c>
      <x:c r="E62" t="n">
        <x:f>(D62-$D$18)*100</x:f>
        <x:v>-3.592626702327177</x:v>
      </x:c>
      <x:c r="F62" t="n">
        <x:f>D62/$D$18*100</x:f>
        <x:v>38.27658039330495</x:v>
      </x:c>
      <x:c r="G62" t="inlineStr">
        <x:is>
          <x:t xml:space="preserve">BEA via FRED</x:t>
        </x:is>
      </x:c>
      <x:c r="H62" t="inlineStr">
        <x:is>
          <x:t xml:space="preserve">DGOERC1A027NBEA; PCECA</x:t>
        </x:is>
      </x:c>
    </x:row>
    <x:row r="63">
      <x:c r="A63" s="225" t="n">
        <x:v>2025</x:v>
      </x:c>
      <x:c r="B63" s="225" t="n">
        <x:v>418.814</x:v>
      </x:c>
      <x:c r="C63" s="225" t="n">
        <x:v>20870.15</x:v>
      </x:c>
      <x:c r="D63" s="224" t="n">
        <x:f>B63/C63</x:f>
        <x:v>0.020067608522219532</x:v>
      </x:c>
      <x:c r="E63" t="n">
        <x:f>(D63-$D$18)*100</x:f>
        <x:v>-3.8137635536187924</x:v>
      </x:c>
      <x:c r="F63" t="n">
        <x:f>D63/$D$18*100</x:f>
        <x:v>34.47732046631779</x:v>
      </x:c>
      <x:c r="G63" t="inlineStr">
        <x:is>
          <x:t xml:space="preserve">BEA via FRED</x:t>
        </x:is>
      </x:c>
      <x:c r="H63" t="inlineStr">
        <x:is>
          <x:t xml:space="preserve">DGOERC1A027NBEA; PCECA</x:t>
        </x:is>
      </x:c>
    </x:row>
  </x:sheetData>
  <x:mergeCells>
    <x:mergeCell ref="A1:H2"/>
    <x:mergeCell ref="A3:H3"/>
  </x:mergeCells>
  <x:pageMargins left="0.7" right="0.7" top="0.75" bottom="0.75" header="0.3" footer="0.3"/>
  <x:drawing xmlns:r="http://schemas.openxmlformats.org/officeDocument/2006/relationships" r:id="R2479c5837ad5410d"/>
</x:worksheet>
</file>

<file path=xl/worksheets/sheet5.xml><?xml version="1.0" encoding="utf-8"?>
<x:worksheet xmlns:x="http://schemas.openxmlformats.org/spreadsheetml/2006/main">
  <x:sheetFormatPr baseColWidth="8" defaultRowHeight="15"/>
  <x:cols>
    <x:col min="1" max="1" width="13" style="204" customWidth="1"/>
    <x:col min="2" max="2" width="16" style="204" customWidth="1"/>
    <x:col min="3" max="3" width="16" style="204" customWidth="1"/>
    <x:col min="4" max="4" width="16" style="204" customWidth="1"/>
    <x:col min="5" max="5" width="19" style="204" customWidth="1"/>
    <x:col min="6" max="6" width="16" style="204" customWidth="1"/>
    <x:col min="7" max="7" width="16" style="204" customWidth="1"/>
    <x:col min="8" max="8" width="16" style="204" customWidth="1"/>
    <x:col min="9" max="9" width="16" style="204" customWidth="1"/>
    <x:col min="10" max="10" width="3" style="204" customWidth="1"/>
  </x:cols>
  <x:sheetData>
    <x:row r="1" s="204" customFormat="1" ht="24" customHeight="1">
      <x:c r="A1" s="7" t="inlineStr">
        <x:is>
          <x:t xml:space="preserve">04 | CPI TRANSMISSION: 2018–SEP 2026</x:t>
        </x:is>
      </x:c>
      <x:c r="B1" s="1" t="n"/>
      <x:c r="C1" s="1" t="n"/>
      <x:c r="D1" s="1" t="n"/>
      <x:c r="E1" s="1" t="n"/>
      <x:c r="F1" s="1" t="n"/>
      <x:c r="G1" s="1" t="n"/>
      <x:c r="H1" s="1" t="n"/>
      <x:c r="I1" s="1" t="n"/>
    </x:row>
    <x:row r="2" s="204" customFormat="1" ht="24" customHeight="1">
      <x:c r="A2" s="1" t="n"/>
      <x:c r="B2" s="1" t="n"/>
      <x:c r="C2" s="1" t="n"/>
      <x:c r="D2" s="1" t="n"/>
      <x:c r="E2" s="1" t="n"/>
      <x:c r="F2" s="1" t="n"/>
      <x:c r="G2" s="1" t="n"/>
      <x:c r="H2" s="1" t="n"/>
      <x:c r="I2" s="1" t="n"/>
    </x:row>
    <x:row r="3" s="204" customFormat="1" ht="30" customHeight="1">
      <x:c r="A3" s="15" t="inlineStr">
        <x:is>
          <x:t xml:space="preserve">BLS / FRED monthly seasonally-adjusted indices; use 2018 as YoY base. 2025-10 CPI series missing: keep blank.</x:t>
        </x:is>
      </x:c>
      <x:c r="B3" s="1" t="n"/>
      <x:c r="C3" s="1" t="n"/>
      <x:c r="D3" s="1" t="n"/>
      <x:c r="E3" s="1" t="n"/>
      <x:c r="F3" s="1" t="n"/>
      <x:c r="G3" s="1" t="n"/>
      <x:c r="H3" s="1" t="n"/>
      <x:c r="I3" s="1" t="n"/>
    </x:row>
    <x:row r="7" s="204" customFormat="1" ht="42" customHeight="1">
      <x:c r="A7" s="218" t="inlineStr">
        <x:is>
          <x:t xml:space="preserve">Month</x:t>
        </x:is>
      </x:c>
      <x:c r="B7" s="218" t="inlineStr">
        <x:is>
          <x:t xml:space="preserve">Headline CPI
CPIAUCSL</x:t>
        </x:is>
      </x:c>
      <x:c r="C7" s="218" t="inlineStr">
        <x:is>
          <x:t xml:space="preserve">Core CPI
CPILFESL</x:t>
        </x:is>
      </x:c>
      <x:c r="D7" s="218" t="inlineStr">
        <x:is>
          <x:t xml:space="preserve">Energy CPI
CPIENGSL</x:t>
        </x:is>
      </x:c>
      <x:c r="E7" s="218" t="inlineStr">
        <x:is>
          <x:t xml:space="preserve">Transport services
CUSR0000SAS4</x:t>
        </x:is>
      </x:c>
      <x:c r="F7" s="218" t="inlineStr">
        <x:is>
          <x:t xml:space="preserve">Headline
YoY</x:t>
        </x:is>
      </x:c>
      <x:c r="G7" s="218" t="inlineStr">
        <x:is>
          <x:t xml:space="preserve">Core
YoY</x:t>
        </x:is>
      </x:c>
      <x:c r="H7" s="218" t="inlineStr">
        <x:is>
          <x:t xml:space="preserve">Energy
YoY</x:t>
        </x:is>
      </x:c>
      <x:c r="I7" s="218" t="inlineStr">
        <x:is>
          <x:t xml:space="preserve">Transport
YoY</x:t>
        </x:is>
      </x:c>
    </x:row>
    <x:row r="8">
      <x:c r="A8" s="225" t="inlineStr">
        <x:is>
          <x:t xml:space="preserve">2018-01</x:t>
        </x:is>
      </x:c>
      <x:c r="B8" s="225" t="n">
        <x:v>248.859</x:v>
      </x:c>
      <x:c r="C8" s="225" t="n">
        <x:v>255.204</x:v>
      </x:c>
      <x:c r="D8" s="225" t="n">
        <x:v>216.855</x:v>
      </x:c>
      <x:c r="E8" s="225" t="n">
        <x:v>317.514</x:v>
      </x:c>
    </x:row>
    <x:row r="9">
      <x:c r="A9" s="225" t="inlineStr">
        <x:is>
          <x:t xml:space="preserve">2018-02</x:t>
        </x:is>
      </x:c>
      <x:c r="B9" s="225" t="n">
        <x:v>249.529</x:v>
      </x:c>
      <x:c r="C9" s="225" t="n">
        <x:v>255.711</x:v>
      </x:c>
      <x:c r="D9" s="225" t="n">
        <x:v>220.141</x:v>
      </x:c>
      <x:c r="E9" s="225" t="n">
        <x:v>320.209</x:v>
      </x:c>
    </x:row>
    <x:row r="10">
      <x:c r="A10" s="225" t="inlineStr">
        <x:is>
          <x:t xml:space="preserve">2018-03</x:t>
        </x:is>
      </x:c>
      <x:c r="B10" s="225" t="n">
        <x:v>249.577</x:v>
      </x:c>
      <x:c r="C10" s="225" t="n">
        <x:v>256.271</x:v>
      </x:c>
      <x:c r="D10" s="225" t="n">
        <x:v>215.72</x:v>
      </x:c>
      <x:c r="E10" s="225" t="n">
        <x:v>320.599</x:v>
      </x:c>
    </x:row>
    <x:row r="11">
      <x:c r="A11" s="225" t="inlineStr">
        <x:is>
          <x:t xml:space="preserve">2018-04</x:t>
        </x:is>
      </x:c>
      <x:c r="B11" s="225" t="n">
        <x:v>250.227</x:v>
      </x:c>
      <x:c r="C11" s="225" t="n">
        <x:v>256.63</x:v>
      </x:c>
      <x:c r="D11" s="225" t="n">
        <x:v>219.165</x:v>
      </x:c>
      <x:c r="E11" s="225" t="n">
        <x:v>319.913</x:v>
      </x:c>
    </x:row>
    <x:row r="12">
      <x:c r="A12" s="225" t="inlineStr">
        <x:is>
          <x:t xml:space="preserve">2018-05</x:t>
        </x:is>
      </x:c>
      <x:c r="B12" s="225" t="n">
        <x:v>250.792</x:v>
      </x:c>
      <x:c r="C12" s="225" t="n">
        <x:v>257.145</x:v>
      </x:c>
      <x:c r="D12" s="225" t="n">
        <x:v>221.045</x:v>
      </x:c>
      <x:c r="E12" s="225" t="n">
        <x:v>320.44</x:v>
      </x:c>
    </x:row>
    <x:row r="13">
      <x:c r="A13" s="225" t="inlineStr">
        <x:is>
          <x:t xml:space="preserve">2018-06</x:t>
        </x:is>
      </x:c>
      <x:c r="B13" s="225" t="n">
        <x:v>251.018</x:v>
      </x:c>
      <x:c r="C13" s="225" t="n">
        <x:v>257.399</x:v>
      </x:c>
      <x:c r="D13" s="225" t="n">
        <x:v>220.947</x:v>
      </x:c>
      <x:c r="E13" s="225" t="n">
        <x:v>321.236</x:v>
      </x:c>
    </x:row>
    <x:row r="14">
      <x:c r="A14" s="225" t="inlineStr">
        <x:is>
          <x:t xml:space="preserve">2018-07</x:t>
        </x:is>
      </x:c>
      <x:c r="B14" s="225" t="n">
        <x:v>251.214</x:v>
      </x:c>
      <x:c r="C14" s="225" t="n">
        <x:v>257.699</x:v>
      </x:c>
      <x:c r="D14" s="225" t="n">
        <x:v>219.929</x:v>
      </x:c>
      <x:c r="E14" s="225" t="n">
        <x:v>321.994</x:v>
      </x:c>
    </x:row>
    <x:row r="15">
      <x:c r="A15" s="225" t="inlineStr">
        <x:is>
          <x:t xml:space="preserve">2018-08</x:t>
        </x:is>
      </x:c>
      <x:c r="B15" s="225" t="n">
        <x:v>251.663</x:v>
      </x:c>
      <x:c r="C15" s="225" t="n">
        <x:v>257.891</x:v>
      </x:c>
      <x:c r="D15" s="225" t="n">
        <x:v>222.781</x:v>
      </x:c>
      <x:c r="E15" s="225" t="n">
        <x:v>322.821</x:v>
      </x:c>
    </x:row>
    <x:row r="16">
      <x:c r="A16" s="225" t="inlineStr">
        <x:is>
          <x:t xml:space="preserve">2018-09</x:t>
        </x:is>
      </x:c>
      <x:c r="B16" s="225" t="n">
        <x:v>252.182</x:v>
      </x:c>
      <x:c r="C16" s="225" t="n">
        <x:v>258.368</x:v>
      </x:c>
      <x:c r="D16" s="225" t="n">
        <x:v>223.955</x:v>
      </x:c>
      <x:c r="E16" s="225" t="n">
        <x:v>324.03</x:v>
      </x:c>
    </x:row>
    <x:row r="17">
      <x:c r="A17" s="225" t="inlineStr">
        <x:is>
          <x:t xml:space="preserve">2018-10</x:t>
        </x:is>
      </x:c>
      <x:c r="B17" s="225" t="n">
        <x:v>252.772</x:v>
      </x:c>
      <x:c r="C17" s="225" t="n">
        <x:v>258.917</x:v>
      </x:c>
      <x:c r="D17" s="225" t="n">
        <x:v>226.022</x:v>
      </x:c>
      <x:c r="E17" s="225" t="n">
        <x:v>324.406</x:v>
      </x:c>
    </x:row>
    <x:row r="18">
      <x:c r="A18" s="225" t="inlineStr">
        <x:is>
          <x:t xml:space="preserve">2018-11</x:t>
        </x:is>
      </x:c>
      <x:c r="B18" s="225" t="n">
        <x:v>252.594</x:v>
      </x:c>
      <x:c r="C18" s="225" t="n">
        <x:v>259.439</x:v>
      </x:c>
      <x:c r="D18" s="225" t="n">
        <x:v>218.5</x:v>
      </x:c>
      <x:c r="E18" s="225" t="n">
        <x:v>324.079</x:v>
      </x:c>
    </x:row>
    <x:row r="19">
      <x:c r="A19" s="225" t="inlineStr">
        <x:is>
          <x:t xml:space="preserve">2018-12</x:t>
        </x:is>
      </x:c>
      <x:c r="B19" s="225" t="n">
        <x:v>252.767</x:v>
      </x:c>
      <x:c r="C19" s="225" t="n">
        <x:v>260.063</x:v>
      </x:c>
      <x:c r="D19" s="225" t="n">
        <x:v>213.63</x:v>
      </x:c>
      <x:c r="E19" s="225" t="n">
        <x:v>324.081</x:v>
      </x:c>
    </x:row>
    <x:row r="20">
      <x:c r="A20" s="225" t="inlineStr">
        <x:is>
          <x:t xml:space="preserve">2019-01</x:t>
        </x:is>
      </x:c>
      <x:c r="B20" s="225" t="n">
        <x:v>252.561</x:v>
      </x:c>
      <x:c r="C20" s="225" t="n">
        <x:v>260.766</x:v>
      </x:c>
      <x:c r="D20" s="225" t="n">
        <x:v>204.34</x:v>
      </x:c>
      <x:c r="E20" s="225" t="n">
        <x:v>324.545</x:v>
      </x:c>
      <x:c r="F20" s="224" t="n">
        <x:f>IF(OR(B20="",B8=""),"",B20/B8-1)</x:f>
        <x:v>0.014875893578291333</x:v>
      </x:c>
      <x:c r="G20" s="224" t="n">
        <x:f>IF(OR(C20="",C8=""),"",C20/C8-1)</x:f>
        <x:v>0.021794329242488475</x:v>
      </x:c>
      <x:c r="H20" s="224" t="n">
        <x:f>IF(OR(D20="",D8=""),"",D20/D8-1)</x:f>
        <x:v>-0.057711373959558165</x:v>
      </x:c>
      <x:c r="I20" s="224" t="n">
        <x:f>IF(OR(E20="",E8=""),"",E20/E8-1)</x:f>
        <x:v>0.022143905465585867</x:v>
      </x:c>
    </x:row>
    <x:row r="21">
      <x:c r="A21" s="225" t="inlineStr">
        <x:is>
          <x:t xml:space="preserve">2019-02</x:t>
        </x:is>
      </x:c>
      <x:c r="B21" s="225" t="n">
        <x:v>253.319</x:v>
      </x:c>
      <x:c r="C21" s="225" t="n">
        <x:v>261.186</x:v>
      </x:c>
      <x:c r="D21" s="225" t="n">
        <x:v>208.144</x:v>
      </x:c>
      <x:c r="E21" s="225" t="n">
        <x:v>324.291</x:v>
      </x:c>
      <x:c r="F21" s="224" t="n">
        <x:f>IF(OR(B21="",B9=""),"",B21/B9-1)</x:f>
        <x:v>0.015188615351321877</x:v>
      </x:c>
      <x:c r="G21" s="224" t="n">
        <x:f>IF(OR(C21="",C9=""),"",C21/C9-1)</x:f>
        <x:v>0.021410889637129227</x:v>
      </x:c>
      <x:c r="H21" s="224" t="n">
        <x:f>IF(OR(D21="",D9=""),"",D21/D9-1)</x:f>
        <x:v>-0.05449689062918761</x:v>
      </x:c>
      <x:c r="I21" s="224" t="n">
        <x:f>IF(OR(E21="",E9=""),"",E21/E9-1)</x:f>
        <x:v>0.012747924012129541</x:v>
      </x:c>
    </x:row>
    <x:row r="22">
      <x:c r="A22" s="225" t="inlineStr">
        <x:is>
          <x:t xml:space="preserve">2019-03</x:t>
        </x:is>
      </x:c>
      <x:c r="B22" s="225" t="n">
        <x:v>254.277</x:v>
      </x:c>
      <x:c r="C22" s="225" t="n">
        <x:v>261.567</x:v>
      </x:c>
      <x:c r="D22" s="225" t="n">
        <x:v>214.934</x:v>
      </x:c>
      <x:c r="E22" s="225" t="n">
        <x:v>323.443</x:v>
      </x:c>
      <x:c r="F22" s="224" t="n">
        <x:f>IF(OR(B22="",B10=""),"",B22/B10-1)</x:f>
        <x:v>0.018831863513063984</x:v>
      </x:c>
      <x:c r="G22" s="224" t="n">
        <x:f>IF(OR(C22="",C10=""),"",C22/C10-1)</x:f>
        <x:v>0.0206656235001228</x:v>
      </x:c>
      <x:c r="H22" s="224" t="n">
        <x:f>IF(OR(D22="",D10=""),"",D22/D10-1)</x:f>
        <x:v>-0.003643612089745951</x:v>
      </x:c>
      <x:c r="I22" s="224" t="n">
        <x:f>IF(OR(E22="",E10=""),"",E22/E10-1)</x:f>
        <x:v>0.00887089479380787</x:v>
      </x:c>
    </x:row>
    <x:row r="23">
      <x:c r="A23" s="225" t="inlineStr">
        <x:is>
          <x:t xml:space="preserve">2019-04</x:t>
        </x:is>
      </x:c>
      <x:c r="B23" s="225" t="n">
        <x:v>255.233</x:v>
      </x:c>
      <x:c r="C23" s="225" t="n">
        <x:v>261.997</x:v>
      </x:c>
      <x:c r="D23" s="225" t="n">
        <x:v>222.42</x:v>
      </x:c>
      <x:c r="E23" s="225" t="n">
        <x:v>323.795</x:v>
      </x:c>
      <x:c r="F23" s="224" t="n">
        <x:f>IF(OR(B23="",B11=""),"",B23/B11-1)</x:f>
        <x:v>0.020005834702090608</x:v>
      </x:c>
      <x:c r="G23" s="224" t="n">
        <x:f>IF(OR(C23="",C11=""),"",C23/C11-1)</x:f>
        <x:v>0.020913377235709074</x:v>
      </x:c>
      <x:c r="H23" s="224" t="n">
        <x:f>IF(OR(D23="",D11=""),"",D23/D11-1)</x:f>
        <x:v>0.014851823968243139</x:v>
      </x:c>
      <x:c r="I23" s="224" t="n">
        <x:f>IF(OR(E23="",E11=""),"",E23/E11-1)</x:f>
        <x:v>0.012134549080531354</x:v>
      </x:c>
    </x:row>
    <x:row r="24">
      <x:c r="A24" s="225" t="inlineStr">
        <x:is>
          <x:t xml:space="preserve">2019-05</x:t>
        </x:is>
      </x:c>
      <x:c r="B24" s="225" t="n">
        <x:v>255.296</x:v>
      </x:c>
      <x:c r="C24" s="225" t="n">
        <x:v>262.217</x:v>
      </x:c>
      <x:c r="D24" s="225" t="n">
        <x:v>220.523</x:v>
      </x:c>
      <x:c r="E24" s="225" t="n">
        <x:v>323.026</x:v>
      </x:c>
      <x:c r="F24" s="224" t="n">
        <x:f>IF(OR(B24="",B12=""),"",B24/B12-1)</x:f>
        <x:v>0.017959105553606136</x:v>
      </x:c>
      <x:c r="G24" s="224" t="n">
        <x:f>IF(OR(C24="",C12=""),"",C24/C12-1)</x:f>
        <x:v>0.0197242800754438</x:v>
      </x:c>
      <x:c r="H24" s="224" t="n">
        <x:f>IF(OR(D24="",D12=""),"",D24/D12-1)</x:f>
        <x:v>-0.0023615100997533833</x:v>
      </x:c>
      <x:c r="I24" s="224" t="n">
        <x:f>IF(OR(E24="",E12=""),"",E24/E12-1)</x:f>
        <x:v>0.008070153538884073</x:v>
      </x:c>
    </x:row>
    <x:row r="25">
      <x:c r="A25" s="225" t="inlineStr">
        <x:is>
          <x:t xml:space="preserve">2019-06</x:t>
        </x:is>
      </x:c>
      <x:c r="B25" s="225" t="n">
        <x:v>255.213</x:v>
      </x:c>
      <x:c r="C25" s="225" t="n">
        <x:v>262.739</x:v>
      </x:c>
      <x:c r="D25" s="225" t="n">
        <x:v>214.926</x:v>
      </x:c>
      <x:c r="E25" s="225" t="n">
        <x:v>323.274</x:v>
      </x:c>
      <x:c r="F25" s="224" t="n">
        <x:f>IF(OR(B25="",B13=""),"",B25/B13-1)</x:f>
        <x:v>0.01671194894390049</x:v>
      </x:c>
      <x:c r="G25" s="224" t="n">
        <x:f>IF(OR(C25="",C13=""),"",C25/C13-1)</x:f>
        <x:v>0.020746001344216447</x:v>
      </x:c>
      <x:c r="H25" s="224" t="n">
        <x:f>IF(OR(D25="",D13=""),"",D25/D13-1)</x:f>
        <x:v>-0.027250879170117814</x:v>
      </x:c>
      <x:c r="I25" s="224" t="n">
        <x:f>IF(OR(E25="",E13=""),"",E25/E13-1)</x:f>
        <x:v>0.006344245352326583</x:v>
      </x:c>
    </x:row>
    <x:row r="26">
      <x:c r="A26" s="225" t="inlineStr">
        <x:is>
          <x:t xml:space="preserve">2019-07</x:t>
        </x:is>
      </x:c>
      <x:c r="B26" s="225" t="n">
        <x:v>255.802</x:v>
      </x:c>
      <x:c r="C26" s="225" t="n">
        <x:v>263.28</x:v>
      </x:c>
      <x:c r="D26" s="225" t="n">
        <x:v>216.696</x:v>
      </x:c>
      <x:c r="E26" s="225" t="n">
        <x:v>324.049</x:v>
      </x:c>
      <x:c r="F26" s="224" t="n">
        <x:f>IF(OR(B26="",B14=""),"",B26/B14-1)</x:f>
        <x:v>0.01826331335037068</x:v>
      </x:c>
      <x:c r="G26" s="224" t="n">
        <x:f>IF(OR(C26="",C14=""),"",C26/C14-1)</x:f>
        <x:v>0.021657049503490455</x:v>
      </x:c>
      <x:c r="H26" s="224" t="n">
        <x:f>IF(OR(D26="",D14=""),"",D26/D14-1)</x:f>
        <x:v>-0.014700198700489775</x:v>
      </x:c>
      <x:c r="I26" s="224" t="n">
        <x:f>IF(OR(E26="",E14=""),"",E26/E14-1)</x:f>
        <x:v>0.006382106498878715</x:v>
      </x:c>
    </x:row>
    <x:row r="27">
      <x:c r="A27" s="225" t="inlineStr">
        <x:is>
          <x:t xml:space="preserve">2019-08</x:t>
        </x:is>
      </x:c>
      <x:c r="B27" s="225" t="n">
        <x:v>256.036</x:v>
      </x:c>
      <x:c r="C27" s="225" t="n">
        <x:v>263.877</x:v>
      </x:c>
      <x:c r="D27" s="225" t="n">
        <x:v>213.847</x:v>
      </x:c>
      <x:c r="E27" s="225" t="n">
        <x:v>325.993</x:v>
      </x:c>
      <x:c r="F27" s="224" t="n">
        <x:f>IF(OR(B27="",B15=""),"",B27/B15-1)</x:f>
        <x:v>0.017376412106666406</x:v>
      </x:c>
      <x:c r="G27" s="224" t="n">
        <x:f>IF(OR(C27="",C15=""),"",C27/C15-1)</x:f>
        <x:v>0.02321135673598529</x:v>
      </x:c>
      <x:c r="H27" s="224" t="n">
        <x:f>IF(OR(D27="",D15=""),"",D27/D15-1)</x:f>
        <x:v>-0.04010216311085779</x:v>
      </x:c>
      <x:c r="I27" s="224" t="n">
        <x:f>IF(OR(E27="",E15=""),"",E27/E15-1)</x:f>
        <x:v>0.009825878737752314</x:v>
      </x:c>
    </x:row>
    <x:row r="28">
      <x:c r="A28" s="225" t="inlineStr">
        <x:is>
          <x:t xml:space="preserve">2019-09</x:t>
        </x:is>
      </x:c>
      <x:c r="B28" s="225" t="n">
        <x:v>256.43</x:v>
      </x:c>
      <x:c r="C28" s="225" t="n">
        <x:v>264.388</x:v>
      </x:c>
      <x:c r="D28" s="225" t="n">
        <x:v>213.015</x:v>
      </x:c>
      <x:c r="E28" s="225" t="n">
        <x:v>326.935</x:v>
      </x:c>
      <x:c r="F28" s="224" t="n">
        <x:f>IF(OR(B28="",B16=""),"",B28/B16-1)</x:f>
        <x:v>0.016844977040391562</x:v>
      </x:c>
      <x:c r="G28" s="224" t="n">
        <x:f>IF(OR(C28="",C16=""),"",C28/C16-1)</x:f>
        <x:v>0.023300099083477743</x:v>
      </x:c>
      <x:c r="H28" s="224" t="n">
        <x:f>IF(OR(D28="",D16=""),"",D28/D16-1)</x:f>
        <x:v>-0.048849099149382846</x:v>
      </x:c>
      <x:c r="I28" s="224" t="n">
        <x:f>IF(OR(E28="",E16=""),"",E28/E16-1)</x:f>
        <x:v>0.008965219269820857</x:v>
      </x:c>
    </x:row>
    <x:row r="29">
      <x:c r="A29" s="225" t="inlineStr">
        <x:is>
          <x:t xml:space="preserve">2019-10</x:t>
        </x:is>
      </x:c>
      <x:c r="B29" s="225" t="n">
        <x:v>257.155</x:v>
      </x:c>
      <x:c r="C29" s="225" t="n">
        <x:v>264.97</x:v>
      </x:c>
      <x:c r="D29" s="225" t="n">
        <x:v>215.268</x:v>
      </x:c>
      <x:c r="E29" s="225" t="n">
        <x:v>327.196</x:v>
      </x:c>
      <x:c r="F29" s="224" t="n">
        <x:f>IF(OR(B29="",B17=""),"",B29/B17-1)</x:f>
        <x:v>0.017339736996186295</x:v>
      </x:c>
      <x:c r="G29" s="224" t="n">
        <x:f>IF(OR(C29="",C17=""),"",C29/C17-1)</x:f>
        <x:v>0.023378148209658223</x:v>
      </x:c>
      <x:c r="H29" s="224" t="n">
        <x:f>IF(OR(D29="",D17=""),"",D29/D17-1)</x:f>
        <x:v>-0.04757943916963836</x:v>
      </x:c>
      <x:c r="I29" s="224" t="n">
        <x:f>IF(OR(E29="",E17=""),"",E29/E17-1)</x:f>
        <x:v>0.008600334149183597</x:v>
      </x:c>
    </x:row>
    <x:row r="30">
      <x:c r="A30" s="225" t="inlineStr">
        <x:is>
          <x:t xml:space="preserve">2019-11</x:t>
        </x:is>
      </x:c>
      <x:c r="B30" s="225" t="n">
        <x:v>257.879</x:v>
      </x:c>
      <x:c r="C30" s="225" t="n">
        <x:v>265.548</x:v>
      </x:c>
      <x:c r="D30" s="225" t="n">
        <x:v>217.488</x:v>
      </x:c>
      <x:c r="E30" s="225" t="n">
        <x:v>326.715</x:v>
      </x:c>
      <x:c r="F30" s="224" t="n">
        <x:f>IF(OR(B30="",B18=""),"",B30/B18-1)</x:f>
        <x:v>0.020922903948629168</x:v>
      </x:c>
      <x:c r="G30" s="224" t="n">
        <x:f>IF(OR(C30="",C18=""),"",C30/C18-1)</x:f>
        <x:v>0.023546960942649298</x:v>
      </x:c>
      <x:c r="H30" s="224" t="n">
        <x:f>IF(OR(D30="",D18=""),"",D30/D18-1)</x:f>
        <x:v>-0.004631578947368431</x:v>
      </x:c>
      <x:c r="I30" s="224" t="n">
        <x:f>IF(OR(E30="",E18=""),"",E30/E18-1)</x:f>
        <x:v>0.008133819223090644</x:v>
      </x:c>
    </x:row>
    <x:row r="31">
      <x:c r="A31" s="225" t="inlineStr">
        <x:is>
          <x:t xml:space="preserve">2019-12</x:t>
        </x:is>
      </x:c>
      <x:c r="B31" s="225" t="n">
        <x:v>258.63</x:v>
      </x:c>
      <x:c r="C31" s="225" t="n">
        <x:v>266.02</x:v>
      </x:c>
      <x:c r="D31" s="225" t="n">
        <x:v>221.18</x:v>
      </x:c>
      <x:c r="E31" s="225" t="n">
        <x:v>326.555</x:v>
      </x:c>
      <x:c r="F31" s="224" t="n">
        <x:f>IF(OR(B31="",B19=""),"",B31/B19-1)</x:f>
        <x:v>0.023195274699624457</x:v>
      </x:c>
      <x:c r="G31" s="224" t="n">
        <x:f>IF(OR(C31="",C19=""),"",C31/C19-1)</x:f>
        <x:v>0.022905988164406255</x:v>
      </x:c>
      <x:c r="H31" s="224" t="n">
        <x:f>IF(OR(D31="",D19=""),"",D31/D19-1)</x:f>
        <x:v>0.03534147825679912</x:v>
      </x:c>
      <x:c r="I31" s="224" t="n">
        <x:f>IF(OR(E31="",E19=""),"",E31/E19-1)</x:f>
        <x:v>0.0076338939956368534</x:v>
      </x:c>
    </x:row>
    <x:row r="32">
      <x:c r="A32" s="225" t="inlineStr">
        <x:is>
          <x:t xml:space="preserve">2020-01</x:t>
        </x:is>
      </x:c>
      <x:c r="B32" s="225" t="n">
        <x:v>259.127</x:v>
      </x:c>
      <x:c r="C32" s="225" t="n">
        <x:v>266.716</x:v>
      </x:c>
      <x:c r="D32" s="225" t="n">
        <x:v>220.147</x:v>
      </x:c>
      <x:c r="E32" s="225" t="n">
        <x:v>328.113</x:v>
      </x:c>
      <x:c r="F32" s="224" t="n">
        <x:f>IF(OR(B32="",B20=""),"",B32/B20-1)</x:f>
        <x:v>0.02599767976845202</x:v>
      </x:c>
      <x:c r="G32" s="224" t="n">
        <x:f>IF(OR(C32="",C20=""),"",C32/C20-1)</x:f>
        <x:v>0.022817391837892886</x:v>
      </x:c>
      <x:c r="H32" s="224" t="n">
        <x:f>IF(OR(D32="",D20=""),"",D32/D20-1)</x:f>
        <x:v>0.07735636683958114</x:v>
      </x:c>
      <x:c r="I32" s="224" t="n">
        <x:f>IF(OR(E32="",E20=""),"",E32/E20-1)</x:f>
        <x:v>0.01099385293256705</x:v>
      </x:c>
    </x:row>
    <x:row r="33">
      <x:c r="A33" s="225" t="inlineStr">
        <x:is>
          <x:t xml:space="preserve">2020-02</x:t>
        </x:is>
      </x:c>
      <x:c r="B33" s="225" t="n">
        <x:v>259.25</x:v>
      </x:c>
      <x:c r="C33" s="225" t="n">
        <x:v>267.37</x:v>
      </x:c>
      <x:c r="D33" s="225" t="n">
        <x:v>214.294</x:v>
      </x:c>
      <x:c r="E33" s="225" t="n">
        <x:v>328.863</x:v>
      </x:c>
      <x:c r="F33" s="224" t="n">
        <x:f>IF(OR(B33="",B21=""),"",B33/B21-1)</x:f>
        <x:v>0.023413166797595197</x:v>
      </x:c>
      <x:c r="G33" s="224" t="n">
        <x:f>IF(OR(C33="",C21=""),"",C33/C21-1)</x:f>
        <x:v>0.023676613601035346</x:v>
      </x:c>
      <x:c r="H33" s="224" t="n">
        <x:f>IF(OR(D33="",D21=""),"",D33/D21-1)</x:f>
        <x:v>0.029546852179260563</x:v>
      </x:c>
      <x:c r="I33" s="224" t="n">
        <x:f>IF(OR(E33="",E21=""),"",E33/E21-1)</x:f>
        <x:v>0.014098448615595283</x:v>
      </x:c>
    </x:row>
    <x:row r="34">
      <x:c r="A34" s="225" t="inlineStr">
        <x:is>
          <x:t xml:space="preserve">2020-03</x:t>
        </x:is>
      </x:c>
      <x:c r="B34" s="225" t="n">
        <x:v>258.076</x:v>
      </x:c>
      <x:c r="C34" s="225" t="n">
        <x:v>267.054</x:v>
      </x:c>
      <x:c r="D34" s="225" t="n">
        <x:v>201.681</x:v>
      </x:c>
      <x:c r="E34" s="225" t="n">
        <x:v>321.192</x:v>
      </x:c>
      <x:c r="F34" s="224" t="n">
        <x:f>IF(OR(B34="",B22=""),"",B34/B22-1)</x:f>
        <x:v>0.014940399642909163</x:v>
      </x:c>
      <x:c r="G34" s="224" t="n">
        <x:f>IF(OR(C34="",C22=""),"",C34/C22-1)</x:f>
        <x:v>0.02097741687598198</x:v>
      </x:c>
      <x:c r="H34" s="224" t="n">
        <x:f>IF(OR(D34="",D22=""),"",D34/D22-1)</x:f>
        <x:v>-0.061660788893334595</x:v>
      </x:c>
      <x:c r="I34" s="224" t="n">
        <x:f>IF(OR(E34="",E22=""),"",E34/E22-1)</x:f>
        <x:v>-0.006959495181531161</x:v>
      </x:c>
    </x:row>
    <x:row r="35">
      <x:c r="A35" s="225" t="inlineStr">
        <x:is>
          <x:t xml:space="preserve">2020-04</x:t>
        </x:is>
      </x:c>
      <x:c r="B35" s="225" t="n">
        <x:v>256.032</x:v>
      </x:c>
      <x:c r="C35" s="225" t="n">
        <x:v>265.746</x:v>
      </x:c>
      <x:c r="D35" s="225" t="n">
        <x:v>182.586</x:v>
      </x:c>
      <x:c r="E35" s="225" t="n">
        <x:v>305.569</x:v>
      </x:c>
      <x:c r="F35" s="224" t="n">
        <x:f>IF(OR(B35="",B23=""),"",B35/B23-1)</x:f>
        <x:v>0.003130472940411133</x:v>
      </x:c>
      <x:c r="G35" s="224" t="n">
        <x:f>IF(OR(C35="",C23=""),"",C35/C23-1)</x:f>
        <x:v>0.014309324152566472</x:v>
      </x:c>
      <x:c r="H35" s="224" t="n">
        <x:f>IF(OR(D35="",D23=""),"",D35/D23-1)</x:f>
        <x:v>-0.1790936066900457</x:v>
      </x:c>
      <x:c r="I35" s="224" t="n">
        <x:f>IF(OR(E35="",E23=""),"",E35/E23-1)</x:f>
        <x:v>-0.05628870118439133</x:v>
      </x:c>
    </x:row>
    <x:row r="36">
      <x:c r="A36" s="225" t="inlineStr">
        <x:is>
          <x:t xml:space="preserve">2020-05</x:t>
        </x:is>
      </x:c>
      <x:c r="B36" s="225" t="n">
        <x:v>255.802</x:v>
      </x:c>
      <x:c r="C36" s="225" t="n">
        <x:v>265.412</x:v>
      </x:c>
      <x:c r="D36" s="225" t="n">
        <x:v>180.04</x:v>
      </x:c>
      <x:c r="E36" s="225" t="n">
        <x:v>294.297</x:v>
      </x:c>
      <x:c r="F36" s="224" t="n">
        <x:f>IF(OR(B36="",B24=""),"",B36/B24-1)</x:f>
        <x:v>0.001982013035848551</x:v>
      </x:c>
      <x:c r="G36" s="224" t="n">
        <x:f>IF(OR(C36="",C24=""),"",C36/C24-1)</x:f>
        <x:v>0.012184564692601985</x:v>
      </x:c>
      <x:c r="H36" s="224" t="n">
        <x:f>IF(OR(D36="",D24=""),"",D36/D24-1)</x:f>
        <x:v>-0.1835772232374855</x:v>
      </x:c>
      <x:c r="I36" s="224" t="n">
        <x:f>IF(OR(E36="",E24=""),"",E36/E24-1)</x:f>
        <x:v>-0.08893711342121058</x:v>
      </x:c>
    </x:row>
    <x:row r="37">
      <x:c r="A37" s="225" t="inlineStr">
        <x:is>
          <x:t xml:space="preserve">2020-06</x:t>
        </x:is>
      </x:c>
      <x:c r="B37" s="225" t="n">
        <x:v>257.042</x:v>
      </x:c>
      <x:c r="C37" s="225" t="n">
        <x:v>265.849</x:v>
      </x:c>
      <x:c r="D37" s="225" t="n">
        <x:v>188.734</x:v>
      </x:c>
      <x:c r="E37" s="225" t="n">
        <x:v>300.572</x:v>
      </x:c>
      <x:c r="F37" s="224" t="n">
        <x:f>IF(OR(B37="",B25=""),"",B37/B25-1)</x:f>
        <x:v>0.007166562831830481</x:v>
      </x:c>
      <x:c r="G37" s="224" t="n">
        <x:f>IF(OR(C37="",C25=""),"",C37/C25-1)</x:f>
        <x:v>0.011836841884912408</x:v>
      </x:c>
      <x:c r="H37" s="224" t="n">
        <x:f>IF(OR(D37="",D25=""),"",D37/D25-1)</x:f>
        <x:v>-0.12186520011538848</x:v>
      </x:c>
      <x:c r="I37" s="224" t="n">
        <x:f>IF(OR(E37="",E25=""),"",E37/E25-1)</x:f>
        <x:v>-0.07022525783081845</x:v>
      </x:c>
    </x:row>
    <x:row r="38">
      <x:c r="A38" s="225" t="inlineStr">
        <x:is>
          <x:t xml:space="preserve">2020-07</x:t>
        </x:is>
      </x:c>
      <x:c r="B38" s="225" t="n">
        <x:v>258.352</x:v>
      </x:c>
      <x:c r="C38" s="225" t="n">
        <x:v>267.389</x:v>
      </x:c>
      <x:c r="D38" s="225" t="n">
        <x:v>191.966</x:v>
      </x:c>
      <x:c r="E38" s="225" t="n">
        <x:v>311.944</x:v>
      </x:c>
      <x:c r="F38" s="224" t="n">
        <x:f>IF(OR(B38="",B26=""),"",B38/B26-1)</x:f>
        <x:v>0.009968647625897997</x:v>
      </x:c>
      <x:c r="G38" s="224" t="n">
        <x:f>IF(OR(C38="",C26=""),"",C38/C26-1)</x:f>
        <x:v>0.015606958371315871</x:v>
      </x:c>
      <x:c r="H38" s="224" t="n">
        <x:f>IF(OR(D38="",D26=""),"",D38/D26-1)</x:f>
        <x:v>-0.11412301103850553</x:v>
      </x:c>
      <x:c r="I38" s="224" t="n">
        <x:f>IF(OR(E38="",E26=""),"",E38/E26-1)</x:f>
        <x:v>-0.03735546167400594</x:v>
      </x:c>
    </x:row>
    <x:row r="39">
      <x:c r="A39" s="225" t="inlineStr">
        <x:is>
          <x:t xml:space="preserve">2020-08</x:t>
        </x:is>
      </x:c>
      <x:c r="B39" s="225" t="n">
        <x:v>259.316</x:v>
      </x:c>
      <x:c r="C39" s="225" t="n">
        <x:v>268.422</x:v>
      </x:c>
      <x:c r="D39" s="225" t="n">
        <x:v>193.307</x:v>
      </x:c>
      <x:c r="E39" s="225" t="n">
        <x:v>312.966</x:v>
      </x:c>
      <x:c r="F39" s="224" t="n">
        <x:f>IF(OR(B39="",B27=""),"",B39/B27-1)</x:f>
        <x:v>0.012810698495523853</x:v>
      </x:c>
      <x:c r="G39" s="224" t="n">
        <x:f>IF(OR(C39="",C27=""),"",C39/C27-1)</x:f>
        <x:v>0.017223933878284248</x:v>
      </x:c>
      <x:c r="H39" s="224" t="n">
        <x:f>IF(OR(D39="",D27=""),"",D39/D27-1)</x:f>
        <x:v>-0.09604997965835393</x:v>
      </x:c>
      <x:c r="I39" s="224" t="n">
        <x:f>IF(OR(E39="",E27=""),"",E39/E27-1)</x:f>
        <x:v>-0.039960980757255515</x:v>
      </x:c>
    </x:row>
    <x:row r="40">
      <x:c r="A40" s="225" t="inlineStr">
        <x:is>
          <x:t xml:space="preserve">2020-09</x:t>
        </x:is>
      </x:c>
      <x:c r="B40" s="225" t="n">
        <x:v>259.997</x:v>
      </x:c>
      <x:c r="C40" s="225" t="n">
        <x:v>268.933</x:v>
      </x:c>
      <x:c r="D40" s="225" t="n">
        <x:v>196.705</x:v>
      </x:c>
      <x:c r="E40" s="225" t="n">
        <x:v>310.192</x:v>
      </x:c>
      <x:c r="F40" s="224" t="n">
        <x:f>IF(OR(B40="",B28=""),"",B40/B28-1)</x:f>
        <x:v>0.013910228912373812</x:v>
      </x:c>
      <x:c r="G40" s="224" t="n">
        <x:f>IF(OR(C40="",C28=""),"",C40/C28-1)</x:f>
        <x:v>0.01719064405343662</x:v>
      </x:c>
      <x:c r="H40" s="224" t="n">
        <x:f>IF(OR(D40="",D28=""),"",D40/D28-1)</x:f>
        <x:v>-0.07656737788418644</x:v>
      </x:c>
      <x:c r="I40" s="224" t="n">
        <x:f>IF(OR(E40="",E28=""),"",E40/E28-1)</x:f>
        <x:v>-0.05121201462064329</x:v>
      </x:c>
    </x:row>
    <x:row r="41">
      <x:c r="A41" s="225" t="inlineStr">
        <x:is>
          <x:t xml:space="preserve">2020-10</x:t>
        </x:is>
      </x:c>
      <x:c r="B41" s="225" t="n">
        <x:v>260.319</x:v>
      </x:c>
      <x:c r="C41" s="225" t="n">
        <x:v>269.306</x:v>
      </x:c>
      <x:c r="D41" s="225" t="n">
        <x:v>196.113</x:v>
      </x:c>
      <x:c r="E41" s="225" t="n">
        <x:v>310.119</x:v>
      </x:c>
      <x:c r="F41" s="224" t="n">
        <x:f>IF(OR(B41="",B29=""),"",B41/B29-1)</x:f>
        <x:v>0.012303863428671624</x:v>
      </x:c>
      <x:c r="G41" s="224" t="n">
        <x:f>IF(OR(C41="",C29=""),"",C41/C29-1)</x:f>
        <x:v>0.01636411669245552</x:v>
      </x:c>
      <x:c r="H41" s="224" t="n">
        <x:f>IF(OR(D41="",D29=""),"",D41/D29-1)</x:f>
        <x:v>-0.08898210602597689</x:v>
      </x:c>
      <x:c r="I41" s="224" t="n">
        <x:f>IF(OR(E41="",E29=""),"",E41/E29-1)</x:f>
        <x:v>-0.052191958336898936</x:v>
      </x:c>
    </x:row>
    <x:row r="42">
      <x:c r="A42" s="225" t="inlineStr">
        <x:is>
          <x:t xml:space="preserve">2020-11</x:t>
        </x:is>
      </x:c>
      <x:c r="B42" s="225" t="n">
        <x:v>260.911</x:v>
      </x:c>
      <x:c r="C42" s="225" t="n">
        <x:v>269.981</x:v>
      </x:c>
      <x:c r="D42" s="225" t="n">
        <x:v>197.017</x:v>
      </x:c>
      <x:c r="E42" s="225" t="n">
        <x:v>315.497</x:v>
      </x:c>
      <x:c r="F42" s="224" t="n">
        <x:f>IF(OR(B42="",B30=""),"",B42/B30-1)</x:f>
        <x:v>0.011757452138405844</x:v>
      </x:c>
      <x:c r="G42" s="224" t="n">
        <x:f>IF(OR(C42="",C30=""),"",C42/C30-1)</x:f>
        <x:v>0.016693780408814973</x:v>
      </x:c>
      <x:c r="H42" s="224" t="n">
        <x:f>IF(OR(D42="",D30=""),"",D42/D30-1)</x:f>
        <x:v>-0.09412473331861992</x:v>
      </x:c>
      <x:c r="I42" s="224" t="n">
        <x:f>IF(OR(E42="",E30=""),"",E42/E30-1)</x:f>
        <x:v>-0.034335736039055376</x:v>
      </x:c>
    </x:row>
    <x:row r="43">
      <x:c r="A43" s="225" t="inlineStr">
        <x:is>
          <x:t xml:space="preserve">2020-12</x:t>
        </x:is>
      </x:c>
      <x:c r="B43" s="225" t="n">
        <x:v>262.045</x:v>
      </x:c>
      <x:c r="C43" s="225" t="n">
        <x:v>270.341</x:v>
      </x:c>
      <x:c r="D43" s="225" t="n">
        <x:v>205.67</x:v>
      </x:c>
      <x:c r="E43" s="225" t="n">
        <x:v>315.71</x:v>
      </x:c>
      <x:c r="F43" s="224" t="n">
        <x:f>IF(OR(B43="",B31=""),"",B43/B31-1)</x:f>
        <x:v>0.013204191315779434</x:v>
      </x:c>
      <x:c r="G43" s="224" t="n">
        <x:f>IF(OR(C43="",C31=""),"",C43/C31-1)</x:f>
        <x:v>0.01624313961356294</x:v>
      </x:c>
      <x:c r="H43" s="224" t="n">
        <x:f>IF(OR(D43="",D31=""),"",D43/D31-1)</x:f>
        <x:v>-0.07012388100189904</x:v>
      </x:c>
      <x:c r="I43" s="224" t="n">
        <x:f>IF(OR(E43="",E31=""),"",E43/E31-1)</x:f>
        <x:v>-0.03321033210332114</x:v>
      </x:c>
    </x:row>
    <x:row r="44">
      <x:c r="A44" s="225" t="inlineStr">
        <x:is>
          <x:t xml:space="preserve">2021-01</x:t>
        </x:is>
      </x:c>
      <x:c r="B44" s="225" t="n">
        <x:v>262.687</x:v>
      </x:c>
      <x:c r="C44" s="225" t="n">
        <x:v>270.387</x:v>
      </x:c>
      <x:c r="D44" s="225" t="n">
        <x:v>212.47</x:v>
      </x:c>
      <x:c r="E44" s="225" t="n">
        <x:v>314.584</x:v>
      </x:c>
      <x:c r="F44" s="224" t="n">
        <x:f>IF(OR(B44="",B32=""),"",B44/B32-1)</x:f>
        <x:v>0.013738437137002402</x:v>
      </x:c>
      <x:c r="G44" s="224" t="n">
        <x:f>IF(OR(C44="",C32=""),"",C44/C32-1)</x:f>
        <x:v>0.013763703714812836</x:v>
      </x:c>
      <x:c r="H44" s="224" t="n">
        <x:f>IF(OR(D44="",D32=""),"",D44/D32-1)</x:f>
        <x:v>-0.03487215360645379</x:v>
      </x:c>
      <x:c r="I44" s="224" t="n">
        <x:f>IF(OR(E44="",E32=""),"",E44/E32-1)</x:f>
        <x:v>-0.041232746035664514</x:v>
      </x:c>
    </x:row>
    <x:row r="45">
      <x:c r="A45" s="225" t="inlineStr">
        <x:is>
          <x:t xml:space="preserve">2021-02</x:t>
        </x:is>
      </x:c>
      <x:c r="B45" s="225" t="n">
        <x:v>263.579</x:v>
      </x:c>
      <x:c r="C45" s="225" t="n">
        <x:v>270.793</x:v>
      </x:c>
      <x:c r="D45" s="225" t="n">
        <x:v>219.242</x:v>
      </x:c>
      <x:c r="E45" s="225" t="n">
        <x:v>314.604</x:v>
      </x:c>
      <x:c r="F45" s="224" t="n">
        <x:f>IF(OR(B45="",B33=""),"",B45/B33-1)</x:f>
        <x:v>0.016698167791706853</x:v>
      </x:c>
      <x:c r="G45" s="224" t="n">
        <x:f>IF(OR(C45="",C33=""),"",C45/C33-1)</x:f>
        <x:v>0.012802483449900981</x:v>
      </x:c>
      <x:c r="H45" s="224" t="n">
        <x:f>IF(OR(D45="",D33=""),"",D45/D33-1)</x:f>
        <x:v>0.023089773862077223</x:v>
      </x:c>
      <x:c r="I45" s="224" t="n">
        <x:f>IF(OR(E45="",E33=""),"",E45/E33-1)</x:f>
        <x:v>-0.04335848058309999</x:v>
      </x:c>
    </x:row>
    <x:row r="46">
      <x:c r="A46" s="225" t="inlineStr">
        <x:is>
          <x:t xml:space="preserve">2021-03</x:t>
        </x:is>
      </x:c>
      <x:c r="B46" s="225" t="n">
        <x:v>264.961</x:v>
      </x:c>
      <x:c r="C46" s="225" t="n">
        <x:v>271.459</x:v>
      </x:c>
      <x:c r="D46" s="225" t="n">
        <x:v>229.617</x:v>
      </x:c>
      <x:c r="E46" s="225" t="n">
        <x:v>316.088</x:v>
      </x:c>
      <x:c r="F46" s="224" t="n">
        <x:f>IF(OR(B46="",B34=""),"",B46/B34-1)</x:f>
        <x:v>0.026678187820641908</x:v>
      </x:c>
      <x:c r="G46" s="224" t="n">
        <x:f>IF(OR(C46="",C34=""),"",C46/C34-1)</x:f>
        <x:v>0.016494791315614155</x:v>
      </x:c>
      <x:c r="H46" s="224" t="n">
        <x:f>IF(OR(D46="",D34=""),"",D46/D34-1)</x:f>
        <x:v>0.13851577491186573</x:v>
      </x:c>
      <x:c r="I46" s="224" t="n">
        <x:f>IF(OR(E46="",E34=""),"",E46/E34-1)</x:f>
        <x:v>-0.015890806744875308</x:v>
      </x:c>
    </x:row>
    <x:row r="47">
      <x:c r="A47" s="225" t="inlineStr">
        <x:is>
          <x:t xml:space="preserve">2021-04</x:t>
        </x:is>
      </x:c>
      <x:c r="B47" s="225" t="n">
        <x:v>266.614</x:v>
      </x:c>
      <x:c r="C47" s="225" t="n">
        <x:v>273.66</x:v>
      </x:c>
      <x:c r="D47" s="225" t="n">
        <x:v>227.255</x:v>
      </x:c>
      <x:c r="E47" s="225" t="n">
        <x:v>323.087</x:v>
      </x:c>
      <x:c r="F47" s="224" t="n">
        <x:f>IF(OR(B47="",B35=""),"",B47/B35-1)</x:f>
        <x:v>0.04133077115360573</x:v>
      </x:c>
      <x:c r="G47" s="224" t="n">
        <x:f>IF(OR(C47="",C35=""),"",C47/C35-1)</x:f>
        <x:v>0.029780316542864504</x:v>
      </x:c>
      <x:c r="H47" s="224" t="n">
        <x:f>IF(OR(D47="",D35=""),"",D47/D35-1)</x:f>
        <x:v>0.2446463584283569</x:v>
      </x:c>
      <x:c r="I47" s="224" t="n">
        <x:f>IF(OR(E47="",E35=""),"",E47/E35-1)</x:f>
        <x:v>0.057329113882625515</x:v>
      </x:c>
    </x:row>
    <x:row r="48">
      <x:c r="A48" s="225" t="inlineStr">
        <x:is>
          <x:t xml:space="preserve">2021-05</x:t>
        </x:is>
      </x:c>
      <x:c r="B48" s="225" t="n">
        <x:v>268.383</x:v>
      </x:c>
      <x:c r="C48" s="225" t="n">
        <x:v>275.465</x:v>
      </x:c>
      <x:c r="D48" s="225" t="n">
        <x:v>229.854</x:v>
      </x:c>
      <x:c r="E48" s="225" t="n">
        <x:v>327.033</x:v>
      </x:c>
      <x:c r="F48" s="224" t="n">
        <x:f>IF(OR(B48="",B36=""),"",B48/B36-1)</x:f>
        <x:v>0.04918257089467626</x:v>
      </x:c>
      <x:c r="G48" s="224" t="n">
        <x:f>IF(OR(C48="",C36=""),"",C48/C36-1)</x:f>
        <x:v>0.03787696110198491</x:v>
      </x:c>
      <x:c r="H48" s="224" t="n">
        <x:f>IF(OR(D48="",D36=""),"",D48/D36-1)</x:f>
        <x:v>0.27668295934236853</x:v>
      </x:c>
      <x:c r="I48" s="224" t="n">
        <x:f>IF(OR(E48="",E36=""),"",E48/E36-1)</x:f>
        <x:v>0.1112345691597263</x:v>
      </x:c>
    </x:row>
    <x:row r="49">
      <x:c r="A49" s="225" t="inlineStr">
        <x:is>
          <x:t xml:space="preserve">2021-06</x:t>
        </x:is>
      </x:c>
      <x:c r="B49" s="225" t="n">
        <x:v>270.654</x:v>
      </x:c>
      <x:c r="C49" s="225" t="n">
        <x:v>277.651</x:v>
      </x:c>
      <x:c r="D49" s="225" t="n">
        <x:v>233.603</x:v>
      </x:c>
      <x:c r="E49" s="225" t="n">
        <x:v>331.595</x:v>
      </x:c>
      <x:c r="F49" s="224" t="n">
        <x:f>IF(OR(B49="",B37=""),"",B49/B37-1)</x:f>
        <x:v>0.05295632620349999</x:v>
      </x:c>
      <x:c r="G49" s="224" t="n">
        <x:f>IF(OR(C49="",C37=""),"",C49/C37-1)</x:f>
        <x:v>0.04439362194328367</x:v>
      </x:c>
      <x:c r="H49" s="224" t="n">
        <x:f>IF(OR(D49="",D37=""),"",D49/D37-1)</x:f>
        <x:v>0.23773670880710407</x:v>
      </x:c>
      <x:c r="I49" s="224" t="n">
        <x:f>IF(OR(E49="",E37=""),"",E49/E37-1)</x:f>
        <x:v>0.10321320681899859</x:v>
      </x:c>
    </x:row>
    <x:row r="50">
      <x:c r="A50" s="225" t="inlineStr">
        <x:is>
          <x:t xml:space="preserve">2021-07</x:t>
        </x:is>
      </x:c>
      <x:c r="B50" s="225" t="n">
        <x:v>271.903</x:v>
      </x:c>
      <x:c r="C50" s="225" t="n">
        <x:v>278.648</x:v>
      </x:c>
      <x:c r="D50" s="225" t="n">
        <x:v>236.488</x:v>
      </x:c>
      <x:c r="E50" s="225" t="n">
        <x:v>331.279</x:v>
      </x:c>
      <x:c r="F50" s="224" t="n">
        <x:f>IF(OR(B50="",B38=""),"",B50/B38-1)</x:f>
        <x:v>0.05245169381309234</x:v>
      </x:c>
      <x:c r="G50" s="224" t="n">
        <x:f>IF(OR(C50="",C38=""),"",C50/C38-1)</x:f>
        <x:v>0.042107192143281846</x:v>
      </x:c>
      <x:c r="H50" s="224" t="n">
        <x:f>IF(OR(D50="",D38=""),"",D50/D38-1)</x:f>
        <x:v>0.23192648698206964</x:v>
      </x:c>
      <x:c r="I50" s="224" t="n">
        <x:f>IF(OR(E50="",E38=""),"",E50/E38-1)</x:f>
        <x:v>0.0619822788705664</x:v>
      </x:c>
    </x:row>
    <x:row r="51">
      <x:c r="A51" s="225" t="inlineStr">
        <x:is>
          <x:t xml:space="preserve">2021-08</x:t>
        </x:is>
      </x:c>
      <x:c r="B51" s="225" t="n">
        <x:v>272.676</x:v>
      </x:c>
      <x:c r="C51" s="225" t="n">
        <x:v>278.997</x:v>
      </x:c>
      <x:c r="D51" s="225" t="n">
        <x:v>240.692</x:v>
      </x:c>
      <x:c r="E51" s="225" t="n">
        <x:v>327.062</x:v>
      </x:c>
      <x:c r="F51" s="224" t="n">
        <x:f>IF(OR(B51="",B39=""),"",B51/B39-1)</x:f>
        <x:v>0.05152015301793966</x:v>
      </x:c>
      <x:c r="G51" s="224" t="n">
        <x:f>IF(OR(C51="",C39=""),"",C51/C39-1)</x:f>
        <x:v>0.039396919775577244</x:v>
      </x:c>
      <x:c r="H51" s="224" t="n">
        <x:f>IF(OR(D51="",D39=""),"",D51/D39-1)</x:f>
        <x:v>0.2451282157397301</x:v>
      </x:c>
      <x:c r="I51" s="224" t="n">
        <x:f>IF(OR(E51="",E39=""),"",E51/E39-1)</x:f>
        <x:v>0.045040036297872676</x:v>
      </x:c>
    </x:row>
    <x:row r="52">
      <x:c r="A52" s="225" t="inlineStr">
        <x:is>
          <x:t xml:space="preserve">2021-09</x:t>
        </x:is>
      </x:c>
      <x:c r="B52" s="225" t="n">
        <x:v>273.91</x:v>
      </x:c>
      <x:c r="C52" s="225" t="n">
        <x:v>279.698</x:v>
      </x:c>
      <x:c r="D52" s="225" t="n">
        <x:v>245.302</x:v>
      </x:c>
      <x:c r="E52" s="225" t="n">
        <x:v>323.58</x:v>
      </x:c>
      <x:c r="F52" s="224" t="n">
        <x:f>IF(OR(B52="",B40=""),"",B52/B40-1)</x:f>
        <x:v>0.05351215590949132</x:v>
      </x:c>
      <x:c r="G52" s="224" t="n">
        <x:f>IF(OR(C52="",C40=""),"",C52/C40-1)</x:f>
        <x:v>0.04002855729865806</x:v>
      </x:c>
      <x:c r="H52" s="224" t="n">
        <x:f>IF(OR(D52="",D40=""),"",D52/D40-1)</x:f>
        <x:v>0.24705523499656845</x:v>
      </x:c>
      <x:c r="I52" s="224" t="n">
        <x:f>IF(OR(E52="",E40=""),"",E52/E40-1)</x:f>
        <x:v>0.04316036519317068</x:v>
      </x:c>
    </x:row>
    <x:row r="53">
      <x:c r="A53" s="225" t="inlineStr">
        <x:is>
          <x:t xml:space="preserve">2021-10</x:t>
        </x:is>
      </x:c>
      <x:c r="B53" s="225" t="n">
        <x:v>276.55</x:v>
      </x:c>
      <x:c r="C53" s="225" t="n">
        <x:v>281.668</x:v>
      </x:c>
      <x:c r="D53" s="225" t="n">
        <x:v>254.756</x:v>
      </x:c>
      <x:c r="E53" s="225" t="n">
        <x:v>324.022</x:v>
      </x:c>
      <x:c r="F53" s="224" t="n">
        <x:f>IF(OR(B53="",B41=""),"",B53/B41-1)</x:f>
        <x:v>0.06235042390298062</x:v>
      </x:c>
      <x:c r="G53" s="224" t="n">
        <x:f>IF(OR(C53="",C41=""),"",C53/C41-1)</x:f>
        <x:v>0.045903173341849124</x:v>
      </x:c>
      <x:c r="H53" s="224" t="n">
        <x:f>IF(OR(D53="",D41=""),"",D53/D41-1)</x:f>
        <x:v>0.29902658161366147</x:v>
      </x:c>
      <x:c r="I53" s="224" t="n">
        <x:f>IF(OR(E53="",E41=""),"",E53/E41-1)</x:f>
        <x:v>0.044831177709201864</x:v>
      </x:c>
    </x:row>
    <x:row r="54">
      <x:c r="A54" s="225" t="inlineStr">
        <x:is>
          <x:t xml:space="preserve">2021-11</x:t>
        </x:is>
      </x:c>
      <x:c r="B54" s="225" t="n">
        <x:v>278.919</x:v>
      </x:c>
      <x:c r="C54" s="225" t="n">
        <x:v>283.406</x:v>
      </x:c>
      <x:c r="D54" s="225" t="n">
        <x:v>263.798</x:v>
      </x:c>
      <x:c r="E54" s="225" t="n">
        <x:v>327.587</x:v>
      </x:c>
      <x:c r="F54" s="224" t="n">
        <x:f>IF(OR(B54="",B42=""),"",B54/B42-1)</x:f>
        <x:v>0.06901970403700863</x:v>
      </x:c>
      <x:c r="G54" s="224" t="n">
        <x:f>IF(OR(C54="",C42=""),"",C54/C42-1)</x:f>
        <x:v>0.04972572143965692</x:v>
      </x:c>
      <x:c r="H54" s="224" t="n">
        <x:f>IF(OR(D54="",D42=""),"",D54/D42-1)</x:f>
        <x:v>0.33896059730886163</x:v>
      </x:c>
      <x:c r="I54" s="224" t="n">
        <x:f>IF(OR(E54="",E42=""),"",E54/E42-1)</x:f>
        <x:v>0.038320491161563996</x:v>
      </x:c>
    </x:row>
    <x:row r="55">
      <x:c r="A55" s="225" t="inlineStr">
        <x:is>
          <x:t xml:space="preserve">2021-12</x:t>
        </x:is>
      </x:c>
      <x:c r="B55" s="225" t="n">
        <x:v>280.845</x:v>
      </x:c>
      <x:c r="C55" s="225" t="n">
        <x:v>285.18</x:v>
      </x:c>
      <x:c r="D55" s="225" t="n">
        <x:v>267.899</x:v>
      </x:c>
      <x:c r="E55" s="225" t="n">
        <x:v>328.653</x:v>
      </x:c>
      <x:c r="F55" s="224" t="n">
        <x:f>IF(OR(B55="",B43=""),"",B55/B43-1)</x:f>
        <x:v>0.07174340285065539</x:v>
      </x:c>
      <x:c r="G55" s="224" t="n">
        <x:f>IF(OR(C55="",C43=""),"",C55/C43-1)</x:f>
        <x:v>0.05488993530393094</x:v>
      </x:c>
      <x:c r="H55" s="224" t="n">
        <x:f>IF(OR(D55="",D43=""),"",D55/D43-1)</x:f>
        <x:v>0.30256721933193953</x:v>
      </x:c>
      <x:c r="I55" s="224" t="n">
        <x:f>IF(OR(E55="",E43=""),"",E55/E43-1)</x:f>
        <x:v>0.040996484115169096</x:v>
      </x:c>
    </x:row>
    <x:row r="56">
      <x:c r="A56" s="225" t="inlineStr">
        <x:is>
          <x:t xml:space="preserve">2022-01</x:t>
        </x:is>
      </x:c>
      <x:c r="B56" s="225" t="n">
        <x:v>282.543</x:v>
      </x:c>
      <x:c r="C56" s="225" t="n">
        <x:v>286.757</x:v>
      </x:c>
      <x:c r="D56" s="225" t="n">
        <x:v>270.189</x:v>
      </x:c>
      <x:c r="E56" s="225" t="n">
        <x:v>331.128</x:v>
      </x:c>
      <x:c r="F56" s="224" t="n">
        <x:f>IF(OR(B56="",B44=""),"",B56/B44-1)</x:f>
        <x:v>0.07558805726967832</x:v>
      </x:c>
      <x:c r="G56" s="224" t="n">
        <x:f>IF(OR(C56="",C44=""),"",C56/C44-1)</x:f>
        <x:v>0.060542851542418896</x:v>
      </x:c>
      <x:c r="H56" s="224" t="n">
        <x:f>IF(OR(D56="",D44=""),"",D56/D44-1)</x:f>
        <x:v>0.2716571751306067</x:v>
      </x:c>
      <x:c r="I56" s="224" t="n">
        <x:f>IF(OR(E56="",E44=""),"",E56/E44-1)</x:f>
        <x:v>0.052590087226305204</x:v>
      </x:c>
    </x:row>
    <x:row r="57">
      <x:c r="A57" s="225" t="inlineStr">
        <x:is>
          <x:t xml:space="preserve">2022-02</x:t>
        </x:is>
      </x:c>
      <x:c r="B57" s="225" t="n">
        <x:v>284.5</x:v>
      </x:c>
      <x:c r="C57" s="225" t="n">
        <x:v>288.273</x:v>
      </x:c>
      <x:c r="D57" s="225" t="n">
        <x:v>275.322</x:v>
      </x:c>
      <x:c r="E57" s="225" t="n">
        <x:v>334.624</x:v>
      </x:c>
      <x:c r="F57" s="224" t="n">
        <x:f>IF(OR(B57="",B45=""),"",B57/B45-1)</x:f>
        <x:v>0.07937278766517819</x:v>
      </x:c>
      <x:c r="G57" s="224" t="n">
        <x:f>IF(OR(C57="",C45=""),"",C57/C45-1)</x:f>
        <x:v>0.06455115161765645</x:v>
      </x:c>
      <x:c r="H57" s="224" t="n">
        <x:f>IF(OR(D57="",D45=""),"",D57/D45-1)</x:f>
        <x:v>0.25579040512310613</x:v>
      </x:c>
      <x:c r="I57" s="224" t="n">
        <x:f>IF(OR(E57="",E45=""),"",E57/E45-1)</x:f>
        <x:v>0.06363555453840397</x:v>
      </x:c>
    </x:row>
    <x:row r="58">
      <x:c r="A58" s="225" t="inlineStr">
        <x:is>
          <x:t xml:space="preserve">2022-03</x:t>
        </x:is>
      </x:c>
      <x:c r="B58" s="225" t="n">
        <x:v>287.674</x:v>
      </x:c>
      <x:c r="C58" s="225" t="n">
        <x:v>289.056</x:v>
      </x:c>
      <x:c r="D58" s="225" t="n">
        <x:v>303.099</x:v>
      </x:c>
      <x:c r="E58" s="225" t="n">
        <x:v>339.998</x:v>
      </x:c>
      <x:c r="F58" s="224" t="n">
        <x:f>IF(OR(B58="",B46=""),"",B58/B46-1)</x:f>
        <x:v>0.08572204966013852</x:v>
      </x:c>
      <x:c r="G58" s="224" t="n">
        <x:f>IF(OR(C58="",C46=""),"",C58/C46-1)</x:f>
        <x:v>0.06482378554404167</x:v>
      </x:c>
      <x:c r="H58" s="224" t="n">
        <x:f>IF(OR(D58="",D46=""),"",D58/D46-1)</x:f>
        <x:v>0.3200198591567698</x:v>
      </x:c>
      <x:c r="I58" s="224" t="n">
        <x:f>IF(OR(E58="",E46=""),"",E58/E46-1)</x:f>
        <x:v>0.07564349168585949</x:v>
      </x:c>
    </x:row>
    <x:row r="59">
      <x:c r="A59" s="225" t="inlineStr">
        <x:is>
          <x:t xml:space="preserve">2022-04</x:t>
        </x:is>
      </x:c>
      <x:c r="B59" s="225" t="n">
        <x:v>288.561</x:v>
      </x:c>
      <x:c r="C59" s="225" t="n">
        <x:v>290.514</x:v>
      </x:c>
      <x:c r="D59" s="225" t="n">
        <x:v>295.455</x:v>
      </x:c>
      <x:c r="E59" s="225" t="n">
        <x:v>350.551</x:v>
      </x:c>
      <x:c r="F59" s="224" t="n">
        <x:f>IF(OR(B59="",B47=""),"",B59/B47-1)</x:f>
        <x:v>0.08231750770777224</x:v>
      </x:c>
      <x:c r="G59" s="224" t="n">
        <x:f>IF(OR(C59="",C47=""),"",C59/C47-1)</x:f>
        <x:v>0.06158737119052837</x:v>
      </x:c>
      <x:c r="H59" s="224" t="n">
        <x:f>IF(OR(D59="",D47=""),"",D59/D47-1)</x:f>
        <x:v>0.30010340806582914</x:v>
      </x:c>
      <x:c r="I59" s="224" t="n">
        <x:f>IF(OR(E59="",E47=""),"",E59/E47-1)</x:f>
        <x:v>0.08500496770219779</x:v>
      </x:c>
    </x:row>
    <x:row r="60">
      <x:c r="A60" s="225" t="inlineStr">
        <x:is>
          <x:t xml:space="preserve">2022-05</x:t>
        </x:is>
      </x:c>
      <x:c r="B60" s="225" t="n">
        <x:v>291.298</x:v>
      </x:c>
      <x:c r="C60" s="225" t="n">
        <x:v>292.063</x:v>
      </x:c>
      <x:c r="D60" s="225" t="n">
        <x:v>309.052</x:v>
      </x:c>
      <x:c r="E60" s="225" t="n">
        <x:v>353.867</x:v>
      </x:c>
      <x:c r="F60" s="224" t="n">
        <x:f>IF(OR(B60="",B48=""),"",B60/B48-1)</x:f>
        <x:v>0.08538171195642064</x:v>
      </x:c>
      <x:c r="G60" s="224" t="n">
        <x:f>IF(OR(C60="",C48=""),"",C60/C48-1)</x:f>
        <x:v>0.060254478790408905</x:v>
      </x:c>
      <x:c r="H60" s="224" t="n">
        <x:f>IF(OR(D60="",D48=""),"",D60/D48-1)</x:f>
        <x:v>0.3445578497655033</x:v>
      </x:c>
      <x:c r="I60" s="224" t="n">
        <x:f>IF(OR(E60="",E48=""),"",E60/E48-1)</x:f>
        <x:v>0.08205288151348644</x:v>
      </x:c>
    </x:row>
    <x:row r="61">
      <x:c r="A61" s="225" t="inlineStr">
        <x:is>
          <x:t xml:space="preserve">2022-06</x:t>
        </x:is>
      </x:c>
      <x:c r="B61" s="225" t="n">
        <x:v>294.957</x:v>
      </x:c>
      <x:c r="C61" s="225" t="n">
        <x:v>294.05</x:v>
      </x:c>
      <x:c r="D61" s="225" t="n">
        <x:v>330.456</x:v>
      </x:c>
      <x:c r="E61" s="225" t="n">
        <x:v>362.001</x:v>
      </x:c>
      <x:c r="F61" s="224" t="n">
        <x:f>IF(OR(B61="",B49=""),"",B61/B49-1)</x:f>
        <x:v>0.08979361103105798</x:v>
      </x:c>
      <x:c r="G61" s="224" t="n">
        <x:f>IF(OR(C61="",C49=""),"",C61/C49-1)</x:f>
        <x:v>0.05906335651591377</x:v>
      </x:c>
      <x:c r="H61" s="224" t="n">
        <x:f>IF(OR(D61="",D49=""),"",D61/D49-1)</x:f>
        <x:v>0.41460512065341626</x:v>
      </x:c>
      <x:c r="I61" s="224" t="n">
        <x:f>IF(OR(E61="",E49=""),"",E61/E49-1)</x:f>
        <x:v>0.09169619566036857</x:v>
      </x:c>
    </x:row>
    <x:row r="62">
      <x:c r="A62" s="225" t="inlineStr">
        <x:is>
          <x:t xml:space="preserve">2022-07</x:t>
        </x:is>
      </x:c>
      <x:c r="B62" s="225" t="n">
        <x:v>294.913</x:v>
      </x:c>
      <x:c r="C62" s="225" t="n">
        <x:v>295.088</x:v>
      </x:c>
      <x:c r="D62" s="225" t="n">
        <x:v>314.345</x:v>
      </x:c>
      <x:c r="E62" s="225" t="n">
        <x:v>362.387</x:v>
      </x:c>
      <x:c r="F62" s="224" t="n">
        <x:f>IF(OR(B62="",B50=""),"",B62/B50-1)</x:f>
        <x:v>0.08462576727730098</x:v>
      </x:c>
      <x:c r="G62" s="224" t="n">
        <x:f>IF(OR(C62="",C50=""),"",C62/C50-1)</x:f>
        <x:v>0.05899916740834321</x:v>
      </x:c>
      <x:c r="H62" s="224" t="n">
        <x:f>IF(OR(D62="",D50=""),"",D62/D50-1)</x:f>
        <x:v>0.3292217786949021</x:v>
      </x:c>
      <x:c r="I62" s="224" t="n">
        <x:f>IF(OR(E62="",E50=""),"",E62/E50-1)</x:f>
        <x:v>0.09390272247863574</x:v>
      </x:c>
    </x:row>
    <x:row r="63">
      <x:c r="A63" s="225" t="inlineStr">
        <x:is>
          <x:t xml:space="preserve">2022-08</x:t>
        </x:is>
      </x:c>
      <x:c r="B63" s="225" t="n">
        <x:v>295.097</x:v>
      </x:c>
      <x:c r="C63" s="225" t="n">
        <x:v>296.535</x:v>
      </x:c>
      <x:c r="D63" s="225" t="n">
        <x:v>298.331</x:v>
      </x:c>
      <x:c r="E63" s="225" t="n">
        <x:v>363.91</x:v>
      </x:c>
      <x:c r="F63" s="224" t="n">
        <x:f>IF(OR(B63="",B51=""),"",B63/B51-1)</x:f>
        <x:v>0.08222579178218825</x:v>
      </x:c>
      <x:c r="G63" s="224" t="n">
        <x:f>IF(OR(C63="",C51=""),"",C63/C51-1)</x:f>
        <x:v>0.06286089097732228</x:v>
      </x:c>
      <x:c r="H63" s="224" t="n">
        <x:f>IF(OR(D63="",D51=""),"",D63/D51-1)</x:f>
        <x:v>0.23947202233559906</x:v>
      </x:c>
      <x:c r="I63" s="224" t="n">
        <x:f>IF(OR(E63="",E51=""),"",E63/E51-1)</x:f>
        <x:v>0.11266365398609435</x:v>
      </x:c>
    </x:row>
    <x:row r="64">
      <x:c r="A64" s="225" t="inlineStr">
        <x:is>
          <x:t xml:space="preserve">2022-09</x:t>
        </x:is>
      </x:c>
      <x:c r="B64" s="225" t="n">
        <x:v>296.349</x:v>
      </x:c>
      <x:c r="C64" s="225" t="n">
        <x:v>298.226</x:v>
      </x:c>
      <x:c r="D64" s="225" t="n">
        <x:v>294.103</x:v>
      </x:c>
      <x:c r="E64" s="225" t="n">
        <x:v>370.59</x:v>
      </x:c>
      <x:c r="F64" s="224" t="n">
        <x:f>IF(OR(B64="",B52=""),"",B64/B52-1)</x:f>
        <x:v>0.08192106896425821</x:v>
      </x:c>
      <x:c r="G64" s="224" t="n">
        <x:f>IF(OR(C64="",C52=""),"",C64/C52-1)</x:f>
        <x:v>0.06624287624509306</x:v>
      </x:c>
      <x:c r="H64" s="224" t="n">
        <x:f>IF(OR(D64="",D52=""),"",D64/D52-1)</x:f>
        <x:v>0.1989425279859114</x:v>
      </x:c>
      <x:c r="I64" s="224" t="n">
        <x:f>IF(OR(E64="",E52=""),"",E64/E52-1)</x:f>
        <x:v>0.1452809197107361</x:v>
      </x:c>
    </x:row>
    <x:row r="65">
      <x:c r="A65" s="225" t="inlineStr">
        <x:is>
          <x:t xml:space="preserve">2022-10</x:t>
        </x:is>
      </x:c>
      <x:c r="B65" s="225" t="n">
        <x:v>298.007</x:v>
      </x:c>
      <x:c r="C65" s="225" t="n">
        <x:v>299.399</x:v>
      </x:c>
      <x:c r="D65" s="225" t="n">
        <x:v>299.945</x:v>
      </x:c>
      <x:c r="E65" s="225" t="n">
        <x:v>373.364</x:v>
      </x:c>
      <x:c r="F65" s="224" t="n">
        <x:f>IF(OR(B65="",B53=""),"",B65/B53-1)</x:f>
        <x:v>0.07758813957693</x:v>
      </x:c>
      <x:c r="G65" s="224" t="n">
        <x:f>IF(OR(C65="",C53=""),"",C65/C53-1)</x:f>
        <x:v>0.06294999786983246</x:v>
      </x:c>
      <x:c r="H65" s="224" t="n">
        <x:f>IF(OR(D65="",D53=""),"",D65/D53-1)</x:f>
        <x:v>0.17738149444959106</x:v>
      </x:c>
      <x:c r="I65" s="224" t="n">
        <x:f>IF(OR(E65="",E53=""),"",E65/E53-1)</x:f>
        <x:v>0.15227978347149262</x:v>
      </x:c>
    </x:row>
    <x:row r="66">
      <x:c r="A66" s="225" t="inlineStr">
        <x:is>
          <x:t xml:space="preserve">2022-11</x:t>
        </x:is>
      </x:c>
      <x:c r="B66" s="225" t="n">
        <x:v>298.786</x:v>
      </x:c>
      <x:c r="C66" s="225" t="n">
        <x:v>300.325</x:v>
      </x:c>
      <x:c r="D66" s="225" t="n">
        <x:v>298.107</x:v>
      </x:c>
      <x:c r="E66" s="225" t="n">
        <x:v>374.555</x:v>
      </x:c>
      <x:c r="F66" s="224" t="n">
        <x:f>IF(OR(B66="",B54=""),"",B66/B54-1)</x:f>
        <x:v>0.07122856456533988</x:v>
      </x:c>
      <x:c r="G66" s="224" t="n">
        <x:f>IF(OR(C66="",C54=""),"",C66/C54-1)</x:f>
        <x:v>0.05969880665899807</x:v>
      </x:c>
      <x:c r="H66" s="224" t="n">
        <x:f>IF(OR(D66="",D54=""),"",D66/D54-1)</x:f>
        <x:v>0.13005784729224645</x:v>
      </x:c>
      <x:c r="I66" s="224" t="n">
        <x:f>IF(OR(E66="",E54=""),"",E66/E54-1)</x:f>
        <x:v>0.14337565287999832</x:v>
      </x:c>
    </x:row>
    <x:row r="67">
      <x:c r="A67" s="225" t="inlineStr">
        <x:is>
          <x:t xml:space="preserve">2022-12</x:t>
        </x:is>
      </x:c>
      <x:c r="B67" s="225" t="n">
        <x:v>298.832</x:v>
      </x:c>
      <x:c r="C67" s="225" t="n">
        <x:v>301.394</x:v>
      </x:c>
      <x:c r="D67" s="225" t="n">
        <x:v>286.33</x:v>
      </x:c>
      <x:c r="E67" s="225" t="n">
        <x:v>376.02</x:v>
      </x:c>
      <x:c r="F67" s="224" t="n">
        <x:f>IF(OR(B67="",B55=""),"",B67/B55-1)</x:f>
        <x:v>0.06404600402357152</x:v>
      </x:c>
      <x:c r="G67" s="224" t="n">
        <x:f>IF(OR(C67="",C55=""),"",C67/C55-1)</x:f>
        <x:v>0.05685531944736666</x:v>
      </x:c>
      <x:c r="H67" s="224" t="n">
        <x:f>IF(OR(D67="",D55=""),"",D67/D55-1)</x:f>
        <x:v>0.06879831578318685</x:v>
      </x:c>
      <x:c r="I67" s="224" t="n">
        <x:f>IF(OR(E67="",E55=""),"",E67/E55-1)</x:f>
        <x:v>0.1441246542706136</x:v>
      </x:c>
    </x:row>
    <x:row r="68">
      <x:c r="A68" s="225" t="inlineStr">
        <x:is>
          <x:t xml:space="preserve">2023-01</x:t>
        </x:is>
      </x:c>
      <x:c r="B68" s="225" t="n">
        <x:v>300.42</x:v>
      </x:c>
      <x:c r="C68" s="225" t="n">
        <x:v>302.642</x:v>
      </x:c>
      <x:c r="D68" s="225" t="n">
        <x:v>292.615</x:v>
      </x:c>
      <x:c r="E68" s="225" t="n">
        <x:v>379.324</x:v>
      </x:c>
      <x:c r="F68" s="224" t="n">
        <x:f>IF(OR(B68="",B56=""),"",B68/B56-1)</x:f>
        <x:v>0.06327178517960097</x:v>
      </x:c>
      <x:c r="G68" s="224" t="n">
        <x:f>IF(OR(C68="",C56=""),"",C68/C56-1)</x:f>
        <x:v>0.05539533472591773</x:v>
      </x:c>
      <x:c r="H68" s="224" t="n">
        <x:f>IF(OR(D68="",D56=""),"",D68/D56-1)</x:f>
        <x:v>0.08300115844834544</x:v>
      </x:c>
      <x:c r="I68" s="224" t="n">
        <x:f>IF(OR(E68="",E56=""),"",E68/E56-1)</x:f>
        <x:v>0.14555096518566857</x:v>
      </x:c>
    </x:row>
    <x:row r="69">
      <x:c r="A69" s="225" t="inlineStr">
        <x:is>
          <x:t xml:space="preserve">2023-02</x:t>
        </x:is>
      </x:c>
      <x:c r="B69" s="225" t="n">
        <x:v>301.45</x:v>
      </x:c>
      <x:c r="C69" s="225" t="n">
        <x:v>304.123</x:v>
      </x:c>
      <x:c r="D69" s="225" t="n">
        <x:v>288.702</x:v>
      </x:c>
      <x:c r="E69" s="225" t="n">
        <x:v>383.301</x:v>
      </x:c>
      <x:c r="F69" s="224" t="n">
        <x:f>IF(OR(B69="",B57=""),"",B69/B57-1)</x:f>
        <x:v>0.05957820738137087</x:v>
      </x:c>
      <x:c r="G69" s="224" t="n">
        <x:f>IF(OR(C69="",C57=""),"",C69/C57-1)</x:f>
        <x:v>0.054982603296180876</x:v>
      </x:c>
      <x:c r="H69" s="224" t="n">
        <x:f>IF(OR(D69="",D57=""),"",D69/D57-1)</x:f>
        <x:v>0.048597642033691546</x:v>
      </x:c>
      <x:c r="I69" s="224" t="n">
        <x:f>IF(OR(E69="",E57=""),"",E69/E57-1)</x:f>
        <x:v>0.14546774887635072</x:v>
      </x:c>
    </x:row>
    <x:row r="70">
      <x:c r="A70" s="225" t="inlineStr">
        <x:is>
          <x:t xml:space="preserve">2023-03</x:t>
        </x:is>
      </x:c>
      <x:c r="B70" s="225" t="n">
        <x:v>301.821</x:v>
      </x:c>
      <x:c r="C70" s="225" t="n">
        <x:v>305.147</x:v>
      </x:c>
      <x:c r="D70" s="225" t="n">
        <x:v>282.868</x:v>
      </x:c>
      <x:c r="E70" s="225" t="n">
        <x:v>386.973</x:v>
      </x:c>
      <x:c r="F70" s="224" t="n">
        <x:f>IF(OR(B70="",B58=""),"",B70/B58-1)</x:f>
        <x:v>0.04917719362889961</x:v>
      </x:c>
      <x:c r="G70" s="224" t="n">
        <x:f>IF(OR(C70="",C58=""),"",C70/C58-1)</x:f>
        <x:v>0.05566741392671326</x:v>
      </x:c>
      <x:c r="H70" s="224" t="n">
        <x:f>IF(OR(D70="",D58=""),"",D70/D58-1)</x:f>
        <x:v>-0.06674716841691986</x:v>
      </x:c>
      <x:c r="I70" s="224" t="n">
        <x:f>IF(OR(E70="",E58=""),"",E70/E58-1)</x:f>
        <x:v>0.13816257742692617</x:v>
      </x:c>
    </x:row>
    <x:row r="71">
      <x:c r="A71" s="225" t="inlineStr">
        <x:is>
          <x:t xml:space="preserve">2023-04</x:t>
        </x:is>
      </x:c>
      <x:c r="B71" s="225" t="n">
        <x:v>302.845</x:v>
      </x:c>
      <x:c r="C71" s="225" t="n">
        <x:v>306.534</x:v>
      </x:c>
      <x:c r="D71" s="225" t="n">
        <x:v>280.86</x:v>
      </x:c>
      <x:c r="E71" s="225" t="n">
        <x:v>389.255</x:v>
      </x:c>
      <x:c r="F71" s="224" t="n">
        <x:f>IF(OR(B71="",B59=""),"",B71/B59-1)</x:f>
        <x:v>0.049500798791243694</x:v>
      </x:c>
      <x:c r="G71" s="224" t="n">
        <x:f>IF(OR(C71="",C59=""),"",C71/C59-1)</x:f>
        <x:v>0.05514364195873522</x:v>
      </x:c>
      <x:c r="H71" s="224" t="n">
        <x:f>IF(OR(D71="",D59=""),"",D71/D59-1)</x:f>
        <x:v>-0.04939838554094522</x:v>
      </x:c>
      <x:c r="I71" s="224" t="n">
        <x:f>IF(OR(E71="",E59=""),"",E71/E59-1)</x:f>
        <x:v>0.11040904176567756</x:v>
      </x:c>
    </x:row>
    <x:row r="72">
      <x:c r="A72" s="225" t="inlineStr">
        <x:is>
          <x:t xml:space="preserve">2023-05</x:t>
        </x:is>
      </x:c>
      <x:c r="B72" s="225" t="n">
        <x:v>303.334</x:v>
      </x:c>
      <x:c r="C72" s="225" t="n">
        <x:v>307.652</x:v>
      </x:c>
      <x:c r="D72" s="225" t="n">
        <x:v>274.273</x:v>
      </x:c>
      <x:c r="E72" s="225" t="n">
        <x:v>390.61</x:v>
      </x:c>
      <x:c r="F72" s="224" t="n">
        <x:f>IF(OR(B72="",B60=""),"",B72/B60-1)</x:f>
        <x:v>0.04131851231385042</x:v>
      </x:c>
      <x:c r="G72" s="224" t="n">
        <x:f>IF(OR(C72="",C60=""),"",C72/C60-1)</x:f>
        <x:v>0.05337547036084689</x:v>
      </x:c>
      <x:c r="H72" s="224" t="n">
        <x:f>IF(OR(D72="",D60=""),"",D72/D60-1)</x:f>
        <x:v>-0.11253446022028657</x:v>
      </x:c>
      <x:c r="I72" s="224" t="n">
        <x:f>IF(OR(E72="",E60=""),"",E72/E60-1)</x:f>
        <x:v>0.10383279593745676</x:v>
      </x:c>
    </x:row>
    <x:row r="73">
      <x:c r="A73" s="225" t="inlineStr">
        <x:is>
          <x:t xml:space="preserve">2023-06</x:t>
        </x:is>
      </x:c>
      <x:c r="B73" s="225" t="n">
        <x:v>304.014</x:v>
      </x:c>
      <x:c r="C73" s="225" t="n">
        <x:v>308.322</x:v>
      </x:c>
      <x:c r="D73" s="225" t="n">
        <x:v>275.712</x:v>
      </x:c>
      <x:c r="E73" s="225" t="n">
        <x:v>392.585</x:v>
      </x:c>
      <x:c r="F73" s="224" t="n">
        <x:f>IF(OR(B73="",B61=""),"",B73/B61-1)</x:f>
        <x:v>0.03070617072997095</x:v>
      </x:c>
      <x:c r="G73" s="224" t="n">
        <x:f>IF(OR(C73="",C61=""),"",C73/C61-1)</x:f>
        <x:v>0.04853596327155252</x:v>
      </x:c>
      <x:c r="H73" s="224" t="n">
        <x:f>IF(OR(D73="",D61=""),"",D73/D61-1)</x:f>
        <x:v>-0.16566199433510065</x:v>
      </x:c>
      <x:c r="I73" s="224" t="n">
        <x:f>IF(OR(E73="",E61=""),"",E73/E61-1)</x:f>
        <x:v>0.08448595445868934</x:v>
      </x:c>
    </x:row>
    <x:row r="74">
      <x:c r="A74" s="225" t="inlineStr">
        <x:is>
          <x:t xml:space="preserve">2023-07</x:t>
        </x:is>
      </x:c>
      <x:c r="B74" s="225" t="n">
        <x:v>304.609</x:v>
      </x:c>
      <x:c r="C74" s="225" t="n">
        <x:v>308.96</x:v>
      </x:c>
      <x:c r="D74" s="225" t="n">
        <x:v>275.548</x:v>
      </x:c>
      <x:c r="E74" s="225" t="n">
        <x:v>395.366</x:v>
      </x:c>
      <x:c r="F74" s="224" t="n">
        <x:f>IF(OR(B74="",B62=""),"",B74/B62-1)</x:f>
        <x:v>0.03287749268428297</x:v>
      </x:c>
      <x:c r="G74" s="224" t="n">
        <x:f>IF(OR(C74="",C62=""),"",C74/C62-1)</x:f>
        <x:v>0.04700970557935236</x:v>
      </x:c>
      <x:c r="H74" s="224" t="n">
        <x:f>IF(OR(D74="",D62=""),"",D74/D62-1)</x:f>
        <x:v>-0.12342171817588965</x:v>
      </x:c>
      <x:c r="I74" s="224" t="n">
        <x:f>IF(OR(E74="",E62=""),"",E74/E62-1)</x:f>
        <x:v>0.09100492015442052</x:v>
      </x:c>
    </x:row>
    <x:row r="75">
      <x:c r="A75" s="225" t="inlineStr">
        <x:is>
          <x:t xml:space="preserve">2023-08</x:t>
        </x:is>
      </x:c>
      <x:c r="B75" s="225" t="n">
        <x:v>306.082</x:v>
      </x:c>
      <x:c r="C75" s="225" t="n">
        <x:v>309.58</x:v>
      </x:c>
      <x:c r="D75" s="225" t="n">
        <x:v>287.31</x:v>
      </x:c>
      <x:c r="E75" s="225" t="n">
        <x:v>401.419</x:v>
      </x:c>
      <x:c r="F75" s="224" t="n">
        <x:f>IF(OR(B75="",B63=""),"",B75/B63-1)</x:f>
        <x:v>0.03722504803505289</x:v>
      </x:c>
      <x:c r="G75" s="224" t="n">
        <x:f>IF(OR(C75="",C63=""),"",C75/C63-1)</x:f>
        <x:v>0.04399143440066089</x:v>
      </x:c>
      <x:c r="H75" s="224" t="n">
        <x:f>IF(OR(D75="",D63=""),"",D75/D63-1)</x:f>
        <x:v>-0.03694218837465768</x:v>
      </x:c>
      <x:c r="I75" s="224" t="n">
        <x:f>IF(OR(E75="",E63=""),"",E75/E63-1)</x:f>
        <x:v>0.10307218817839559</x:v>
      </x:c>
    </x:row>
    <x:row r="76">
      <x:c r="A76" s="225" t="inlineStr">
        <x:is>
          <x:t xml:space="preserve">2023-09</x:t>
        </x:is>
      </x:c>
      <x:c r="B76" s="225" t="n">
        <x:v>307.276</x:v>
      </x:c>
      <x:c r="C76" s="225" t="n">
        <x:v>310.539</x:v>
      </x:c>
      <x:c r="D76" s="225" t="n">
        <x:v>292.623</x:v>
      </x:c>
      <x:c r="E76" s="225" t="n">
        <x:v>404.034</x:v>
      </x:c>
      <x:c r="F76" s="224" t="n">
        <x:f>IF(OR(B76="",B64=""),"",B76/B64-1)</x:f>
        <x:v>0.03687206638119256</x:v>
      </x:c>
      <x:c r="G76" s="224" t="n">
        <x:f>IF(OR(C76="",C64=""),"",C76/C64-1)</x:f>
        <x:v>0.04128747996485882</x:v>
      </x:c>
      <x:c r="H76" s="224" t="n">
        <x:f>IF(OR(D76="",D64=""),"",D76/D64-1)</x:f>
        <x:v>-0.005032250606080257</x:v>
      </x:c>
      <x:c r="I76" s="224" t="n">
        <x:f>IF(OR(E76="",E64=""),"",E76/E64-1)</x:f>
        <x:v>0.09024528454626402</x:v>
      </x:c>
    </x:row>
    <x:row r="77">
      <x:c r="A77" s="225" t="inlineStr">
        <x:is>
          <x:t xml:space="preserve">2023-10</x:t>
        </x:is>
      </x:c>
      <x:c r="B77" s="225" t="n">
        <x:v>307.696</x:v>
      </x:c>
      <x:c r="C77" s="225" t="n">
        <x:v>311.457</x:v>
      </x:c>
      <x:c r="D77" s="225" t="n">
        <x:v>286.765</x:v>
      </x:c>
      <x:c r="E77" s="225" t="n">
        <x:v>407.895</x:v>
      </x:c>
      <x:c r="F77" s="224" t="n">
        <x:f>IF(OR(B77="",B65=""),"",B77/B65-1)</x:f>
        <x:v>0.032512659098611785</x:v>
      </x:c>
      <x:c r="G77" s="224" t="n">
        <x:f>IF(OR(C77="",C65=""),"",C77/C65-1)</x:f>
        <x:v>0.04027401561127464</x:v>
      </x:c>
      <x:c r="H77" s="224" t="n">
        <x:f>IF(OR(D77="",D65=""),"",D77/D65-1)</x:f>
        <x:v>-0.043941389254696706</x:v>
      </x:c>
      <x:c r="I77" s="224" t="n">
        <x:f>IF(OR(E77="",E65=""),"",E77/E65-1)</x:f>
        <x:v>0.09248615292315265</x:v>
      </x:c>
    </x:row>
    <x:row r="78">
      <x:c r="A78" s="225" t="inlineStr">
        <x:is>
          <x:t xml:space="preserve">2023-11</x:t>
        </x:is>
      </x:c>
      <x:c r="B78" s="225" t="n">
        <x:v>308.148</x:v>
      </x:c>
      <x:c r="C78" s="225" t="n">
        <x:v>312.392</x:v>
      </x:c>
      <x:c r="D78" s="225" t="n">
        <x:v>282.146</x:v>
      </x:c>
      <x:c r="E78" s="225" t="n">
        <x:v>412.515</x:v>
      </x:c>
      <x:c r="F78" s="224" t="n">
        <x:f>IF(OR(B78="",B66=""),"",B78/B66-1)</x:f>
        <x:v>0.031333462745911866</x:v>
      </x:c>
      <x:c r="G78" s="224" t="n">
        <x:f>IF(OR(C78="",C66=""),"",C78/C66-1)</x:f>
        <x:v>0.04017980521102138</x:v>
      </x:c>
      <x:c r="H78" s="224" t="n">
        <x:f>IF(OR(D78="",D66=""),"",D78/D66-1)</x:f>
        <x:v>-0.05354117816757076</x:v>
      </x:c>
      <x:c r="I78" s="224" t="n">
        <x:f>IF(OR(E78="",E66=""),"",E78/E66-1)</x:f>
        <x:v>0.10134693169227482</x:v>
      </x:c>
    </x:row>
    <x:row r="79">
      <x:c r="A79" s="225" t="inlineStr">
        <x:is>
          <x:t xml:space="preserve">2023-12</x:t>
        </x:is>
      </x:c>
      <x:c r="B79" s="225" t="n">
        <x:v>308.741</x:v>
      </x:c>
      <x:c r="C79" s="225" t="n">
        <x:v>313.195</x:v>
      </x:c>
      <x:c r="D79" s="225" t="n">
        <x:v>280.763</x:v>
      </x:c>
      <x:c r="E79" s="225" t="n">
        <x:v>412.184</x:v>
      </x:c>
      <x:c r="F79" s="224" t="n">
        <x:f>IF(OR(B79="",B67=""),"",B79/B67-1)</x:f>
        <x:v>0.033159099427102934</x:v>
      </x:c>
      <x:c r="G79" s="224" t="n">
        <x:f>IF(OR(C79="",C67=""),"",C79/C67-1)</x:f>
        <x:v>0.039154727698627045</x:v>
      </x:c>
      <x:c r="H79" s="224" t="n">
        <x:f>IF(OR(D79="",D67=""),"",D79/D67-1)</x:f>
        <x:v>-0.01944260119442609</x:v>
      </x:c>
      <x:c r="I79" s="224" t="n">
        <x:f>IF(OR(E79="",E67=""),"",E79/E67-1)</x:f>
        <x:v>0.0961757353332271</x:v>
      </x:c>
    </x:row>
    <x:row r="80">
      <x:c r="A80" s="225" t="inlineStr">
        <x:is>
          <x:t xml:space="preserve">2024-01</x:t>
        </x:is>
      </x:c>
      <x:c r="B80" s="225" t="n">
        <x:v>309.698</x:v>
      </x:c>
      <x:c r="C80" s="225" t="n">
        <x:v>314.319</x:v>
      </x:c>
      <x:c r="D80" s="225" t="n">
        <x:v>279.953</x:v>
      </x:c>
      <x:c r="E80" s="225" t="n">
        <x:v>415.761</x:v>
      </x:c>
      <x:c r="F80" s="224" t="n">
        <x:f>IF(OR(B80="",B68=""),"",B80/B68-1)</x:f>
        <x:v>0.030883429864855705</x:v>
      </x:c>
      <x:c r="G80" s="224" t="n">
        <x:f>IF(OR(C80="",C68=""),"",C80/C68-1)</x:f>
        <x:v>0.03858354094937266</x:v>
      </x:c>
      <x:c r="H80" s="224" t="n">
        <x:f>IF(OR(D80="",D68=""),"",D80/D68-1)</x:f>
        <x:v>-0.04327187601455851</x:v>
      </x:c>
      <x:c r="I80" s="224" t="n">
        <x:f>IF(OR(E80="",E68=""),"",E80/E68-1)</x:f>
        <x:v>0.09605772374012722</x:v>
      </x:c>
    </x:row>
    <x:row r="81">
      <x:c r="A81" s="225" t="inlineStr">
        <x:is>
          <x:t xml:space="preserve">2024-02</x:t>
        </x:is>
      </x:c>
      <x:c r="B81" s="225" t="n">
        <x:v>310.967</x:v>
      </x:c>
      <x:c r="C81" s="225" t="n">
        <x:v>315.564</x:v>
      </x:c>
      <x:c r="D81" s="225" t="n">
        <x:v>283.331</x:v>
      </x:c>
      <x:c r="E81" s="225" t="n">
        <x:v>421.549</x:v>
      </x:c>
      <x:c r="F81" s="224" t="n">
        <x:f>IF(OR(B81="",B69=""),"",B81/B69-1)</x:f>
        <x:v>0.03157074141648697</x:v>
      </x:c>
      <x:c r="G81" s="224" t="n">
        <x:f>IF(OR(C81="",C69=""),"",C81/C69-1)</x:f>
        <x:v>0.037619647313751337</x:v>
      </x:c>
      <x:c r="H81" s="224" t="n">
        <x:f>IF(OR(D81="",D69=""),"",D81/D69-1)</x:f>
        <x:v>-0.018603958406938625</x:v>
      </x:c>
      <x:c r="I81" s="224" t="n">
        <x:f>IF(OR(E81="",E69=""),"",E81/E69-1)</x:f>
        <x:v>0.09978580802032866</x:v>
      </x:c>
    </x:row>
    <x:row r="82">
      <x:c r="A82" s="225" t="inlineStr">
        <x:is>
          <x:t xml:space="preserve">2024-03</x:t>
        </x:is>
      </x:c>
      <x:c r="B82" s="225" t="n">
        <x:v>312.345</x:v>
      </x:c>
      <x:c r="C82" s="225" t="n">
        <x:v>316.792</x:v>
      </x:c>
      <x:c r="D82" s="225" t="n">
        <x:v>288.688</x:v>
      </x:c>
      <x:c r="E82" s="225" t="n">
        <x:v>428.464</x:v>
      </x:c>
      <x:c r="F82" s="224" t="n">
        <x:f>IF(OR(B82="",B70=""),"",B82/B70-1)</x:f>
        <x:v>0.034868349120836584</x:v>
      </x:c>
      <x:c r="G82" s="224" t="n">
        <x:f>IF(OR(C82="",C70=""),"",C82/C70-1)</x:f>
        <x:v>0.038161935067360986</x:v>
      </x:c>
      <x:c r="H82" s="224" t="n">
        <x:f>IF(OR(D82="",D70=""),"",D82/D70-1)</x:f>
        <x:v>0.020574967829517732</x:v>
      </x:c>
      <x:c r="I82" s="224" t="n">
        <x:f>IF(OR(E82="",E70=""),"",E82/E70-1)</x:f>
        <x:v>0.10721936672584387</x:v>
      </x:c>
    </x:row>
    <x:row r="83">
      <x:c r="A83" s="225" t="inlineStr">
        <x:is>
          <x:t xml:space="preserve">2024-04</x:t>
        </x:is>
      </x:c>
      <x:c r="B83" s="225" t="n">
        <x:v>313.023</x:v>
      </x:c>
      <x:c r="C83" s="225" t="n">
        <x:v>317.649</x:v>
      </x:c>
      <x:c r="D83" s="225" t="n">
        <x:v>287.611</x:v>
      </x:c>
      <x:c r="E83" s="225" t="n">
        <x:v>432.501</x:v>
      </x:c>
      <x:c r="F83" s="224" t="n">
        <x:f>IF(OR(B83="",B71=""),"",B83/B71-1)</x:f>
        <x:v>0.033607951262196734</x:v>
      </x:c>
      <x:c r="G83" s="224" t="n">
        <x:f>IF(OR(C83="",C71=""),"",C83/C71-1)</x:f>
        <x:v>0.03626025171759095</x:v>
      </x:c>
      <x:c r="H83" s="224" t="n">
        <x:f>IF(OR(D83="",D71=""),"",D83/D71-1)</x:f>
        <x:v>0.024036886705119942</x:v>
      </x:c>
      <x:c r="I83" s="224" t="n">
        <x:f>IF(OR(E83="",E71=""),"",E83/E71-1)</x:f>
        <x:v>0.1110994078431875</x:v>
      </x:c>
    </x:row>
    <x:row r="84">
      <x:c r="A84" s="225" t="inlineStr">
        <x:is>
          <x:t xml:space="preserve">2024-05</x:t>
        </x:is>
      </x:c>
      <x:c r="B84" s="225" t="n">
        <x:v>313.175</x:v>
      </x:c>
      <x:c r="C84" s="225" t="n">
        <x:v>318.095</x:v>
      </x:c>
      <x:c r="D84" s="225" t="n">
        <x:v>284.165</x:v>
      </x:c>
      <x:c r="E84" s="225" t="n">
        <x:v>430.721</x:v>
      </x:c>
      <x:c r="F84" s="224" t="n">
        <x:f>IF(OR(B84="",B72=""),"",B84/B72-1)</x:f>
        <x:v>0.03244278584003113</x:v>
      </x:c>
      <x:c r="G84" s="224" t="n">
        <x:f>IF(OR(C84="",C72=""),"",C84/C72-1)</x:f>
        <x:v>0.03394419668976645</x:v>
      </x:c>
      <x:c r="H84" s="224" t="n">
        <x:f>IF(OR(D84="",D72=""),"",D84/D72-1)</x:f>
        <x:v>0.036066255154535876</x:v>
      </x:c>
      <x:c r="I84" s="224" t="n">
        <x:f>IF(OR(E84="",E72=""),"",E84/E72-1)</x:f>
        <x:v>0.10268810322316368</x:v>
      </x:c>
    </x:row>
    <x:row r="85">
      <x:c r="A85" s="225" t="inlineStr">
        <x:is>
          <x:t xml:space="preserve">2024-06</x:t>
        </x:is>
      </x:c>
      <x:c r="B85" s="225" t="n">
        <x:v>313.044</x:v>
      </x:c>
      <x:c r="C85" s="225" t="n">
        <x:v>318.39</x:v>
      </x:c>
      <x:c r="D85" s="225" t="n">
        <x:v>278.284</x:v>
      </x:c>
      <x:c r="E85" s="225" t="n">
        <x:v>428.961</x:v>
      </x:c>
      <x:c r="F85" s="224" t="n">
        <x:f>IF(OR(B85="",B73=""),"",B85/B73-1)</x:f>
        <x:v>0.029702579486470926</x:v>
      </x:c>
      <x:c r="G85" s="224" t="n">
        <x:f>IF(OR(C85="",C73=""),"",C85/C73-1)</x:f>
        <x:v>0.032654173234475614</x:v>
      </x:c>
      <x:c r="H85" s="224" t="n">
        <x:f>IF(OR(D85="",D73=""),"",D85/D73-1)</x:f>
        <x:v>0.0093285747446612</x:v>
      </x:c>
      <x:c r="I85" s="224" t="n">
        <x:f>IF(OR(E85="",E73=""),"",E85/E73-1)</x:f>
        <x:v>0.09265764102041607</x:v>
      </x:c>
    </x:row>
    <x:row r="86">
      <x:c r="A86" s="225" t="inlineStr">
        <x:is>
          <x:t xml:space="preserve">2024-07</x:t>
        </x:is>
      </x:c>
      <x:c r="B86" s="225" t="n">
        <x:v>313.569</x:v>
      </x:c>
      <x:c r="C86" s="225" t="n">
        <x:v>318.94</x:v>
      </x:c>
      <x:c r="D86" s="225" t="n">
        <x:v>278.287</x:v>
      </x:c>
      <x:c r="E86" s="225" t="n">
        <x:v>430.228</x:v>
      </x:c>
      <x:c r="F86" s="224" t="n">
        <x:f>IF(OR(B86="",B74=""),"",B86/B74-1)</x:f>
        <x:v>0.029414757935583014</x:v>
      </x:c>
      <x:c r="G86" s="224" t="n">
        <x:f>IF(OR(C86="",C74=""),"",C86/C74-1)</x:f>
        <x:v>0.03230191610564481</x:v>
      </x:c>
      <x:c r="H86" s="224" t="n">
        <x:f>IF(OR(D86="",D74=""),"",D86/D74-1)</x:f>
        <x:v>0.009940191908487828</x:v>
      </x:c>
      <x:c r="I86" s="224" t="n">
        <x:f>IF(OR(E86="",E74=""),"",E86/E74-1)</x:f>
        <x:v>0.08817652504261875</x:v>
      </x:c>
    </x:row>
    <x:row r="87">
      <x:c r="A87" s="225" t="inlineStr">
        <x:is>
          <x:t xml:space="preserve">2024-08</x:t>
        </x:is>
      </x:c>
      <x:c r="B87" s="225" t="n">
        <x:v>314.062</x:v>
      </x:c>
      <x:c r="C87" s="225" t="n">
        <x:v>319.75</x:v>
      </x:c>
      <x:c r="D87" s="225" t="n">
        <x:v>275.706</x:v>
      </x:c>
      <x:c r="E87" s="225" t="n">
        <x:v>433.523</x:v>
      </x:c>
      <x:c r="F87" s="224" t="n">
        <x:f>IF(OR(B87="",B75=""),"",B87/B75-1)</x:f>
        <x:v>0.02607144490692037</x:v>
      </x:c>
      <x:c r="G87" s="224" t="n">
        <x:f>IF(OR(C87="",C75=""),"",C87/C75-1)</x:f>
        <x:v>0.03285095936430005</x:v>
      </x:c>
      <x:c r="H87" s="224" t="n">
        <x:f>IF(OR(D87="",D75=""),"",D87/D75-1)</x:f>
        <x:v>-0.04038843061501507</x:v>
      </x:c>
      <x:c r="I87" s="224" t="n">
        <x:f>IF(OR(E87="",E75=""),"",E87/E75-1)</x:f>
        <x:v>0.07997628413204172</x:v>
      </x:c>
    </x:row>
    <x:row r="88">
      <x:c r="A88" s="225" t="inlineStr">
        <x:is>
          <x:t xml:space="preserve">2024-09</x:t>
        </x:is>
      </x:c>
      <x:c r="B88" s="225" t="n">
        <x:v>314.732</x:v>
      </x:c>
      <x:c r="C88" s="225" t="n">
        <x:v>320.732</x:v>
      </x:c>
      <x:c r="D88" s="225" t="n">
        <x:v>272.681</x:v>
      </x:c>
      <x:c r="E88" s="225" t="n">
        <x:v>438.988</x:v>
      </x:c>
      <x:c r="F88" s="224" t="n">
        <x:f>IF(OR(B88="",B76=""),"",B88/B76-1)</x:f>
        <x:v>0.024264830315416708</x:v>
      </x:c>
      <x:c r="G88" s="224" t="n">
        <x:f>IF(OR(C88="",C76=""),"",C88/C76-1)</x:f>
        <x:v>0.032823574494668994</x:v>
      </x:c>
      <x:c r="H88" s="224" t="n">
        <x:f>IF(OR(D88="",D76=""),"",D88/D76-1)</x:f>
        <x:v>-0.06814912019902741</x:v>
      </x:c>
      <x:c r="I88" s="224" t="n">
        <x:f>IF(OR(E88="",E76=""),"",E88/E76-1)</x:f>
        <x:v>0.08651252122346142</x:v>
      </x:c>
    </x:row>
    <x:row r="89">
      <x:c r="A89" s="225" t="inlineStr">
        <x:is>
          <x:t xml:space="preserve">2024-10</x:t>
        </x:is>
      </x:c>
      <x:c r="B89" s="225" t="n">
        <x:v>315.631</x:v>
      </x:c>
      <x:c r="C89" s="225" t="n">
        <x:v>321.731</x:v>
      </x:c>
      <x:c r="D89" s="225" t="n">
        <x:v>273.003</x:v>
      </x:c>
      <x:c r="E89" s="225" t="n">
        <x:v>441.339</x:v>
      </x:c>
      <x:c r="F89" s="224" t="n">
        <x:f>IF(OR(B89="",B77=""),"",B89/B77-1)</x:f>
        <x:v>0.02578844053871343</x:v>
      </x:c>
      <x:c r="G89" s="224" t="n">
        <x:f>IF(OR(C89="",C77=""),"",C89/C77-1)</x:f>
        <x:v>0.03298689706765301</x:v>
      </x:c>
      <x:c r="H89" s="224" t="n">
        <x:f>IF(OR(D89="",D77=""),"",D89/D77-1)</x:f>
        <x:v>-0.04799051488152317</x:v>
      </x:c>
      <x:c r="I89" s="224" t="n">
        <x:f>IF(OR(E89="",E77=""),"",E89/E77-1)</x:f>
        <x:v>0.08199168903762</x:v>
      </x:c>
    </x:row>
    <x:row r="90">
      <x:c r="A90" s="225" t="inlineStr">
        <x:is>
          <x:t xml:space="preserve">2024-11</x:t>
        </x:is>
      </x:c>
      <x:c r="B90" s="225" t="n">
        <x:v>316.528</x:v>
      </x:c>
      <x:c r="C90" s="225" t="n">
        <x:v>322.657</x:v>
      </x:c>
      <x:c r="D90" s="225" t="n">
        <x:v>273.281</x:v>
      </x:c>
      <x:c r="E90" s="225" t="n">
        <x:v>441.797</x:v>
      </x:c>
      <x:c r="F90" s="224" t="n">
        <x:f>IF(OR(B90="",B78=""),"",B90/B78-1)</x:f>
        <x:v>0.02719472461284833</x:v>
      </x:c>
      <x:c r="G90" s="224" t="n">
        <x:f>IF(OR(C90="",C78=""),"",C90/C78-1)</x:f>
        <x:v>0.032859356193500444</x:v>
      </x:c>
      <x:c r="H90" s="224" t="n">
        <x:f>IF(OR(D90="",D78=""),"",D90/D78-1)</x:f>
        <x:v>-0.03141990317069887</x:v>
      </x:c>
      <x:c r="I90" s="224" t="n">
        <x:f>IF(OR(E90="",E78=""),"",E90/E78-1)</x:f>
        <x:v>0.07098408542719659</x:v>
      </x:c>
    </x:row>
    <x:row r="91">
      <x:c r="A91" s="225" t="inlineStr">
        <x:is>
          <x:t xml:space="preserve">2024-12</x:t>
        </x:is>
      </x:c>
      <x:c r="B91" s="225" t="n">
        <x:v>317.604</x:v>
      </x:c>
      <x:c r="C91" s="225" t="n">
        <x:v>323.259</x:v>
      </x:c>
      <x:c r="D91" s="225" t="n">
        <x:v>279.829</x:v>
      </x:c>
      <x:c r="E91" s="225" t="n">
        <x:v>442.69</x:v>
      </x:c>
      <x:c r="F91" s="224" t="n">
        <x:f>IF(OR(B91="",B79=""),"",B91/B79-1)</x:f>
        <x:v>0.028706909675099812</x:v>
      </x:c>
      <x:c r="G91" s="224" t="n">
        <x:f>IF(OR(C91="",C79=""),"",C91/C79-1)</x:f>
        <x:v>0.032133335461932644</x:v>
      </x:c>
      <x:c r="H91" s="224" t="n">
        <x:f>IF(OR(D91="",D79=""),"",D91/D79-1)</x:f>
        <x:v>-0.003326649166734863</x:v>
      </x:c>
      <x:c r="I91" s="224" t="n">
        <x:f>IF(OR(E91="",E79=""),"",E91/E79-1)</x:f>
        <x:v>0.07401063602662883</x:v>
      </x:c>
    </x:row>
    <x:row r="92">
      <x:c r="A92" s="225" t="inlineStr">
        <x:is>
          <x:t xml:space="preserve">2025-01</x:t>
        </x:is>
      </x:c>
      <x:c r="B92" s="225" t="n">
        <x:v>318.961</x:v>
      </x:c>
      <x:c r="C92" s="225" t="n">
        <x:v>324.638</x:v>
      </x:c>
      <x:c r="D92" s="225" t="n">
        <x:v>282.272</x:v>
      </x:c>
      <x:c r="E92" s="225" t="n">
        <x:v>449.76</x:v>
      </x:c>
      <x:c r="F92" s="224" t="n">
        <x:f>IF(OR(B92="",B80=""),"",B92/B80-1)</x:f>
        <x:v>0.029909783078999608</x:v>
      </x:c>
      <x:c r="G92" s="224" t="n">
        <x:f>IF(OR(C92="",C80=""),"",C92/C80-1)</x:f>
        <x:v>0.03282970485398584</x:v>
      </x:c>
      <x:c r="H92" s="224" t="n">
        <x:f>IF(OR(D92="",D80=""),"",D92/D80-1)</x:f>
        <x:v>0.008283533307376745</x:v>
      </x:c>
      <x:c r="I92" s="224" t="n">
        <x:f>IF(OR(E92="",E80=""),"",E92/E80-1)</x:f>
        <x:v>0.08177534689400878</x:v>
      </x:c>
    </x:row>
    <x:row r="93">
      <x:c r="A93" s="225" t="inlineStr">
        <x:is>
          <x:t xml:space="preserve">2025-02</x:t>
        </x:is>
      </x:c>
      <x:c r="B93" s="225" t="n">
        <x:v>319.679</x:v>
      </x:c>
      <x:c r="C93" s="225" t="n">
        <x:v>325.465</x:v>
      </x:c>
      <x:c r="D93" s="225" t="n">
        <x:v>282.096</x:v>
      </x:c>
      <x:c r="E93" s="225" t="n">
        <x:v>446.782</x:v>
      </x:c>
      <x:c r="F93" s="224" t="n">
        <x:f>IF(OR(B93="",B81=""),"",B93/B81-1)</x:f>
        <x:v>0.028015834477613355</x:v>
      </x:c>
      <x:c r="G93" s="224" t="n">
        <x:f>IF(OR(C93="",C81=""),"",C93/C81-1)</x:f>
        <x:v>0.0313755688228059</x:v>
      </x:c>
      <x:c r="H93" s="224" t="n">
        <x:f>IF(OR(D93="",D81=""),"",D93/D81-1)</x:f>
        <x:v>-0.004358859425901196</x:v>
      </x:c>
      <x:c r="I93" s="224" t="n">
        <x:f>IF(OR(E93="",E81=""),"",E93/E81-1)</x:f>
        <x:v>0.05985781012409008</x:v>
      </x:c>
    </x:row>
    <x:row r="94">
      <x:c r="A94" s="225" t="inlineStr">
        <x:is>
          <x:t xml:space="preserve">2025-03</x:t>
        </x:is>
      </x:c>
      <x:c r="B94" s="225" t="n">
        <x:v>319.785</x:v>
      </x:c>
      <x:c r="C94" s="225" t="n">
        <x:v>325.69</x:v>
      </x:c>
      <x:c r="D94" s="225" t="n">
        <x:v>278.906</x:v>
      </x:c>
      <x:c r="E94" s="225" t="n">
        <x:v>441.655</x:v>
      </x:c>
      <x:c r="F94" s="224" t="n">
        <x:f>IF(OR(B94="",B82=""),"",B94/B82-1)</x:f>
        <x:v>0.02381981462805549</x:v>
      </x:c>
      <x:c r="G94" s="224" t="n">
        <x:f>IF(OR(C94="",C82=""),"",C94/C82-1)</x:f>
        <x:v>0.02808783050077035</x:v>
      </x:c>
      <x:c r="H94" s="224" t="n">
        <x:f>IF(OR(D94="",D82=""),"",D94/D82-1)</x:f>
        <x:v>-0.033884331873856866</x:v>
      </x:c>
      <x:c r="I94" s="224" t="n">
        <x:f>IF(OR(E94="",E82=""),"",E94/E82-1)</x:f>
        <x:v>0.030786717203779013</x:v>
      </x:c>
    </x:row>
    <x:row r="95">
      <x:c r="A95" s="225" t="inlineStr">
        <x:is>
          <x:t xml:space="preserve">2025-04</x:t>
        </x:is>
      </x:c>
      <x:c r="B95" s="225" t="n">
        <x:v>320.302</x:v>
      </x:c>
      <x:c r="C95" s="225" t="n">
        <x:v>326.467</x:v>
      </x:c>
      <x:c r="D95" s="225" t="n">
        <x:v>277.343</x:v>
      </x:c>
      <x:c r="E95" s="225" t="n">
        <x:v>442.689</x:v>
      </x:c>
      <x:c r="F95" s="224" t="n">
        <x:f>IF(OR(B95="",B83=""),"",B95/B83-1)</x:f>
        <x:v>0.0232538823025783</x:v>
      </x:c>
      <x:c r="G95" s="224" t="n">
        <x:f>IF(OR(C95="",C83=""),"",C95/C83-1)</x:f>
        <x:v>0.027760200724699313</x:v>
      </x:c>
      <x:c r="H95" s="224" t="n">
        <x:f>IF(OR(D95="",D83=""),"",D95/D83-1)</x:f>
        <x:v>-0.035700998918678284</x:v>
      </x:c>
      <x:c r="I95" s="224" t="n">
        <x:f>IF(OR(E95="",E83=""),"",E95/E83-1)</x:f>
        <x:v>0.023556014899387634</x:v>
      </x:c>
    </x:row>
    <x:row r="96">
      <x:c r="A96" s="225" t="inlineStr">
        <x:is>
          <x:t xml:space="preserve">2025-05</x:t>
        </x:is>
      </x:c>
      <x:c r="B96" s="225" t="n">
        <x:v>320.62</x:v>
      </x:c>
      <x:c r="C96" s="225" t="n">
        <x:v>326.893</x:v>
      </x:c>
      <x:c r="D96" s="225" t="n">
        <x:v>275.377</x:v>
      </x:c>
      <x:c r="E96" s="225" t="n">
        <x:v>441.615</x:v>
      </x:c>
      <x:c r="F96" s="224" t="n">
        <x:f>IF(OR(B96="",B84=""),"",B96/B84-1)</x:f>
        <x:v>0.023772651073680873</x:v>
      </x:c>
      <x:c r="G96" s="224" t="n">
        <x:f>IF(OR(C96="",C84=""),"",C96/C84-1)</x:f>
        <x:v>0.027658403935930886</x:v>
      </x:c>
      <x:c r="H96" s="224" t="n">
        <x:f>IF(OR(D96="",D84=""),"",D96/D84-1)</x:f>
        <x:v>-0.030925694578853857</x:v>
      </x:c>
      <x:c r="I96" s="224" t="n">
        <x:f>IF(OR(E96="",E84=""),"",E96/E84-1)</x:f>
        <x:v>0.02529247471100793</x:v>
      </x:c>
    </x:row>
    <x:row r="97">
      <x:c r="A97" s="225" t="inlineStr">
        <x:is>
          <x:t xml:space="preserve">2025-06</x:t>
        </x:is>
      </x:c>
      <x:c r="B97" s="225" t="n">
        <x:v>321.435</x:v>
      </x:c>
      <x:c r="C97" s="225" t="n">
        <x:v>327.658</x:v>
      </x:c>
      <x:c r="D97" s="225" t="n">
        <x:v>276.558</x:v>
      </x:c>
      <x:c r="E97" s="225" t="n">
        <x:v>442.801</x:v>
      </x:c>
      <x:c r="F97" s="224" t="n">
        <x:f>IF(OR(B97="",B85=""),"",B97/B85-1)</x:f>
        <x:v>0.02680453865910226</x:v>
      </x:c>
      <x:c r="G97" s="224" t="n">
        <x:f>IF(OR(C97="",C85=""),"",C97/C85-1)</x:f>
        <x:v>0.02910895442696071</x:v>
      </x:c>
      <x:c r="H97" s="224" t="n">
        <x:f>IF(OR(D97="",D85=""),"",D97/D85-1)</x:f>
        <x:v>-0.006202296934067375</x:v>
      </x:c>
      <x:c r="I97" s="224" t="n">
        <x:f>IF(OR(E97="",E85=""),"",E97/E85-1)</x:f>
        <x:v>0.03226400535246787</x:v>
      </x:c>
    </x:row>
    <x:row r="98">
      <x:c r="A98" s="225" t="inlineStr">
        <x:is>
          <x:t xml:space="preserve">2025-07</x:t>
        </x:is>
      </x:c>
      <x:c r="B98" s="225" t="n">
        <x:v>322.169</x:v>
      </x:c>
      <x:c r="C98" s="225" t="n">
        <x:v>328.682</x:v>
      </x:c>
      <x:c r="D98" s="225" t="n">
        <x:v>274.85</x:v>
      </x:c>
      <x:c r="E98" s="225" t="n">
        <x:v>445.555</x:v>
      </x:c>
      <x:c r="F98" s="224" t="n">
        <x:f>IF(OR(B98="",B86=""),"",B98/B86-1)</x:f>
        <x:v>0.02742618052167134</x:v>
      </x:c>
      <x:c r="G98" s="224" t="n">
        <x:f>IF(OR(C98="",C86=""),"",C98/C86-1)</x:f>
        <x:v>0.030544930080893096</x:v>
      </x:c>
      <x:c r="H98" s="224" t="n">
        <x:f>IF(OR(D98="",D86=""),"",D98/D86-1)</x:f>
        <x:v>-0.012350558955322888</x:v>
      </x:c>
      <x:c r="I98" s="224" t="n">
        <x:f>IF(OR(E98="",E86=""),"",E98/E86-1)</x:f>
        <x:v>0.03562529635449119</x:v>
      </x:c>
    </x:row>
    <x:row r="99">
      <x:c r="A99" s="225" t="inlineStr">
        <x:is>
          <x:t xml:space="preserve">2025-08</x:t>
        </x:is>
      </x:c>
      <x:c r="B99" s="225" t="n">
        <x:v>323.291</x:v>
      </x:c>
      <x:c r="C99" s="225" t="n">
        <x:v>329.7</x:v>
      </x:c>
      <x:c r="D99" s="225" t="n">
        <x:v>276.734</x:v>
      </x:c>
      <x:c r="E99" s="225" t="n">
        <x:v>449.479</x:v>
      </x:c>
      <x:c r="F99" s="224" t="n">
        <x:f>IF(OR(B99="",B87=""),"",B99/B87-1)</x:f>
        <x:v>0.029385917430316155</x:v>
      </x:c>
      <x:c r="G99" s="224" t="n">
        <x:f>IF(OR(C99="",C87=""),"",C99/C87-1)</x:f>
        <x:v>0.03111806098514469</x:v>
      </x:c>
      <x:c r="H99" s="224" t="n">
        <x:f>IF(OR(D99="",D87=""),"",D99/D87-1)</x:f>
        <x:v>0.0037286094608022236</x:v>
      </x:c>
      <x:c r="I99" s="224" t="n">
        <x:f>IF(OR(E99="",E87=""),"",E99/E87-1)</x:f>
        <x:v>0.03680542900838013</x:v>
      </x:c>
    </x:row>
    <x:row r="100">
      <x:c r="A100" s="225" t="inlineStr">
        <x:is>
          <x:t xml:space="preserve">2025-09</x:t>
        </x:is>
      </x:c>
      <x:c r="B100" s="225" t="n">
        <x:v>324.245</x:v>
      </x:c>
      <x:c r="C100" s="225" t="n">
        <x:v>330.418</x:v>
      </x:c>
      <x:c r="D100" s="225" t="n">
        <x:v>280.7</x:v>
      </x:c>
      <x:c r="E100" s="225" t="n">
        <x:v>450.732</x:v>
      </x:c>
      <x:c r="F100" s="224" t="n">
        <x:f>IF(OR(B100="",B88=""),"",B100/B88-1)</x:f>
        <x:v>0.030225715847133294</x:v>
      </x:c>
      <x:c r="G100" s="224" t="n">
        <x:f>IF(OR(C100="",C88=""),"",C100/C88-1)</x:f>
        <x:v>0.030199668258857892</x:v>
      </x:c>
      <x:c r="H100" s="224" t="n">
        <x:f>IF(OR(D100="",D88=""),"",D100/D88-1)</x:f>
        <x:v>0.02940798955556123</x:v>
      </x:c>
      <x:c r="I100" s="224" t="n">
        <x:f>IF(OR(E100="",E88=""),"",E100/E88-1)</x:f>
        <x:v>0.026752439702224295</x:v>
      </x:c>
    </x:row>
    <x:row r="101">
      <x:c r="A101" s="225" t="inlineStr">
        <x:is>
          <x:t xml:space="preserve">2025-10</x:t>
        </x:is>
      </x:c>
      <x:c r="B101" s="225" t="n"/>
      <x:c r="C101" s="225" t="n"/>
      <x:c r="D101" s="225" t="n"/>
      <x:c r="E101" s="225" t="n"/>
      <x:c r="F101" s="224" t="str">
        <x:f>IF(OR(B101="",B89=""),"",B101/B89-1)</x:f>
      </x:c>
      <x:c r="G101" s="224" t="str">
        <x:f>IF(OR(C101="",C89=""),"",C101/C89-1)</x:f>
      </x:c>
      <x:c r="H101" s="224" t="str">
        <x:f>IF(OR(D101="",D89=""),"",D101/D89-1)</x:f>
      </x:c>
      <x:c r="I101" s="224" t="str">
        <x:f>IF(OR(E101="",E89=""),"",E101/E89-1)</x:f>
      </x:c>
    </x:row>
    <x:row r="102">
      <x:c r="A102" s="225" t="inlineStr">
        <x:is>
          <x:t xml:space="preserve">2025-11</x:t>
        </x:is>
      </x:c>
      <x:c r="B102" s="225" t="n">
        <x:v>325.063</x:v>
      </x:c>
      <x:c r="C102" s="225" t="n">
        <x:v>331.043</x:v>
      </x:c>
      <x:c r="D102" s="225" t="n">
        <x:v>284.648</x:v>
      </x:c>
      <x:c r="E102" s="225" t="n">
        <x:v>448.091</x:v>
      </x:c>
      <x:c r="F102" s="224" t="n">
        <x:f>IF(OR(B102="",B90=""),"",B102/B90-1)</x:f>
        <x:v>0.026964439164939513</x:v>
      </x:c>
      <x:c r="G102" s="224" t="n">
        <x:f>IF(OR(C102="",C90=""),"",C102/C90-1)</x:f>
        <x:v>0.025990448060944082</x:v>
      </x:c>
      <x:c r="H102" s="224" t="n">
        <x:f>IF(OR(D102="",D90=""),"",D102/D90-1)</x:f>
        <x:v>0.041594549200273834</x:v>
      </x:c>
      <x:c r="I102" s="224" t="n">
        <x:f>IF(OR(E102="",E90=""),"",E102/E90-1)</x:f>
        <x:v>0.014246362016944403</x:v>
      </x:c>
    </x:row>
    <x:row r="103">
      <x:c r="A103" s="225" t="inlineStr">
        <x:is>
          <x:t xml:space="preserve">2025-12</x:t>
        </x:is>
      </x:c>
      <x:c r="B103" s="225" t="n">
        <x:v>326.031</x:v>
      </x:c>
      <x:c r="C103" s="225" t="n">
        <x:v>331.814</x:v>
      </x:c>
      <x:c r="D103" s="225" t="n">
        <x:v>285.624</x:v>
      </x:c>
      <x:c r="E103" s="225" t="n">
        <x:v>449.949</x:v>
      </x:c>
      <x:c r="F103" s="224" t="n">
        <x:f>IF(OR(B103="",B91=""),"",B103/B91-1)</x:f>
        <x:v>0.02653304114557753</x:v>
      </x:c>
      <x:c r="G103" s="224" t="n">
        <x:f>IF(OR(C103="",C91=""),"",C103/C91-1)</x:f>
        <x:v>0.026464847073089937</x:v>
      </x:c>
      <x:c r="H103" s="224" t="n">
        <x:f>IF(OR(D103="",D91=""),"",D103/D91-1)</x:f>
        <x:v>0.020709075899924656</x:v>
      </x:c>
      <x:c r="I103" s="224" t="n">
        <x:f>IF(OR(E103="",E91=""),"",E103/E91-1)</x:f>
        <x:v>0.01639747904854416</x:v>
      </x:c>
    </x:row>
    <x:row r="104">
      <x:c r="A104" s="225" t="inlineStr">
        <x:is>
          <x:t xml:space="preserve">2026-01</x:t>
        </x:is>
      </x:c>
      <x:c r="B104" s="225" t="n">
        <x:v>326.588</x:v>
      </x:c>
      <x:c r="C104" s="225" t="n">
        <x:v>332.793</x:v>
      </x:c>
      <x:c r="D104" s="225" t="n">
        <x:v>281.436</x:v>
      </x:c>
      <x:c r="E104" s="225" t="n">
        <x:v>456.032</x:v>
      </x:c>
      <x:c r="F104" s="224" t="n">
        <x:f>IF(OR(B104="",B92=""),"",B104/B92-1)</x:f>
        <x:v>0.02391201432150014</x:v>
      </x:c>
      <x:c r="G104" s="224" t="n">
        <x:f>IF(OR(C104="",C92=""),"",C104/C92-1)</x:f>
        <x:v>0.02512028782828879</x:v>
      </x:c>
      <x:c r="H104" s="224" t="n">
        <x:f>IF(OR(D104="",D92=""),"",D104/D92-1)</x:f>
        <x:v>-0.00296168234894012</x:v>
      </x:c>
      <x:c r="I104" s="224" t="n">
        <x:f>IF(OR(E104="",E92=""),"",E104/E92-1)</x:f>
        <x:v>0.01394521522589831</x:v>
      </x:c>
    </x:row>
    <x:row r="105">
      <x:c r="A105" s="225" t="inlineStr">
        <x:is>
          <x:t xml:space="preserve">2026-02</x:t>
        </x:is>
      </x:c>
      <x:c r="B105" s="225" t="n">
        <x:v>327.46</x:v>
      </x:c>
      <x:c r="C105" s="225" t="n">
        <x:v>333.512</x:v>
      </x:c>
      <x:c r="D105" s="225" t="n">
        <x:v>283.223</x:v>
      </x:c>
      <x:c r="E105" s="225" t="n">
        <x:v>457.108</x:v>
      </x:c>
      <x:c r="F105" s="224" t="n">
        <x:f>IF(OR(B105="",B93=""),"",B105/B93-1)</x:f>
        <x:v>0.024340041103732224</x:v>
      </x:c>
      <x:c r="G105" s="224" t="n">
        <x:f>IF(OR(C105="",C93=""),"",C105/C93-1)</x:f>
        <x:v>0.024724624767640258</x:v>
      </x:c>
      <x:c r="H105" s="224" t="n">
        <x:f>IF(OR(D105="",D93=""),"",D105/D93-1)</x:f>
        <x:v>0.003995093868753852</x:v>
      </x:c>
      <x:c r="I105" s="224" t="n">
        <x:f>IF(OR(E105="",E93=""),"",E105/E93-1)</x:f>
        <x:v>0.023111942737173985</x:v>
      </x:c>
    </x:row>
    <x:row r="106">
      <x:c r="A106" s="225" t="inlineStr">
        <x:is>
          <x:t xml:space="preserve">2026-03</x:t>
        </x:is>
      </x:c>
      <x:c r="B106" s="225" t="n">
        <x:v>330.293</x:v>
      </x:c>
      <x:c r="C106" s="225" t="n">
        <x:v>334.165</x:v>
      </x:c>
      <x:c r="D106" s="225" t="n">
        <x:v>314.019</x:v>
      </x:c>
      <x:c r="E106" s="225" t="n">
        <x:v>459.912</x:v>
      </x:c>
      <x:c r="F106" s="224" t="n">
        <x:f>IF(OR(B106="",B94=""),"",B106/B94-1)</x:f>
        <x:v>0.032859577528651984</x:v>
      </x:c>
      <x:c r="G106" s="224" t="n">
        <x:f>IF(OR(C106="",C94=""),"",C106/C94-1)</x:f>
        <x:v>0.026021677054868242</x:v>
      </x:c>
      <x:c r="H106" s="224" t="n">
        <x:f>IF(OR(D106="",D94=""),"",D106/D94-1)</x:f>
        <x:v>0.12589546298752974</x:v>
      </x:c>
      <x:c r="I106" s="224" t="n">
        <x:f>IF(OR(E106="",E94=""),"",E106/E94-1)</x:f>
        <x:v>0.04133769571271695</x:v>
      </x:c>
    </x:row>
    <x:row r="107">
      <x:c r="A107" s="225" t="inlineStr">
        <x:is>
          <x:t xml:space="preserve">2026-04</x:t>
        </x:is>
      </x:c>
      <x:c r="B107" s="225" t="n">
        <x:v>332.407</x:v>
      </x:c>
      <x:c r="C107" s="225" t="n">
        <x:v>335.423</x:v>
      </x:c>
      <x:c r="D107" s="225" t="n">
        <x:v>325.978</x:v>
      </x:c>
      <x:c r="E107" s="225" t="n">
        <x:v>461.434</x:v>
      </x:c>
      <x:c r="F107" s="224" t="n">
        <x:f>IF(OR(B107="",B95=""),"",B107/B95-1)</x:f>
        <x:v>0.03779245836741563</x:v>
      </x:c>
      <x:c r="G107" s="224" t="n">
        <x:f>IF(OR(C107="",C95=""),"",C107/C95-1)</x:f>
        <x:v>0.027433094309685213</x:v>
      </x:c>
      <x:c r="H107" s="224" t="n">
        <x:f>IF(OR(D107="",D95=""),"",D107/D95-1)</x:f>
        <x:v>0.17536047421424006</x:v>
      </x:c>
      <x:c r="I107" s="224" t="n">
        <x:f>IF(OR(E107="",E95=""),"",E107/E95-1)</x:f>
        <x:v>0.04234349622421152</x:v>
      </x:c>
    </x:row>
    <x:row r="108">
      <x:c r="A108" s="225" t="inlineStr">
        <x:is>
          <x:t xml:space="preserve">2026-05</x:t>
        </x:is>
      </x:c>
      <x:c r="B108" s="225" t="n">
        <x:v>333.979</x:v>
      </x:c>
      <x:c r="C108" s="225" t="n">
        <x:v>336.121</x:v>
      </x:c>
      <x:c r="D108" s="225" t="n">
        <x:v>338.639</x:v>
      </x:c>
      <x:c r="E108" s="225" t="n">
        <x:v>458.772</x:v>
      </x:c>
      <x:c r="F108" s="224" t="n">
        <x:f>IF(OR(B108="",B96=""),"",B108/B96-1)</x:f>
        <x:v>0.04166614684049641</x:v>
      </x:c>
      <x:c r="G108" s="224" t="n">
        <x:f>IF(OR(C108="",C96=""),"",C108/C96-1)</x:f>
        <x:v>0.028229420636110225</x:v>
      </x:c>
      <x:c r="H108" s="224" t="n">
        <x:f>IF(OR(D108="",D96=""),"",D108/D96-1)</x:f>
        <x:v>0.22972869920145844</x:v>
      </x:c>
      <x:c r="I108" s="224" t="n">
        <x:f>IF(OR(E108="",E96=""),"",E108/E96-1)</x:f>
        <x:v>0.038850582520974175</x:v>
      </x:c>
    </x:row>
    <x:row r="109">
      <x:c r="A109" s="225" t="inlineStr">
        <x:is>
          <x:t xml:space="preserve">2026-06</x:t>
        </x:is>
      </x:c>
      <x:c r="B109" s="225" t="n">
        <x:v>332.568</x:v>
      </x:c>
      <x:c r="C109" s="225" t="n">
        <x:v>336.065</x:v>
      </x:c>
      <x:c r="D109" s="225" t="n">
        <x:v>319.29</x:v>
      </x:c>
      <x:c r="E109" s="225" t="n">
        <x:v>457.169</x:v>
      </x:c>
      <x:c r="F109" s="224" t="n">
        <x:f>IF(OR(B109="",B97=""),"",B109/B97-1)</x:f>
        <x:v>0.03463530729385411</x:v>
      </x:c>
      <x:c r="G109" s="224" t="n">
        <x:f>IF(OR(C109="",C97=""),"",C109/C97-1)</x:f>
        <x:v>0.025657850563697515</x:v>
      </x:c>
      <x:c r="H109" s="224" t="n">
        <x:f>IF(OR(D109="",D97=""),"",D109/D97-1)</x:f>
        <x:v>0.1545137005619075</x:v>
      </x:c>
      <x:c r="I109" s="224" t="n">
        <x:f>IF(OR(E109="",E97=""),"",E109/E97-1)</x:f>
        <x:v>0.03244798453481357</x:v>
      </x:c>
    </x:row>
    <x:row r="110">
      <x:c r="A110" s="225" t="inlineStr">
        <x:is>
          <x:t xml:space="preserve">2026-07</x:t>
        </x:is>
      </x:c>
      <x:c r="B110" s="225" t="n">
        <x:v>332.813</x:v>
      </x:c>
      <x:c r="C110" s="225" t="n">
        <x:v>336.789</x:v>
      </x:c>
      <x:c r="D110" s="225" t="n">
        <x:v>314.553</x:v>
      </x:c>
      <x:c r="E110" s="225" t="n">
        <x:v>458.462</x:v>
      </x:c>
      <x:c r="F110" s="224" t="n">
        <x:f>IF(OR(B110="",B98=""),"",B110/B98-1)</x:f>
        <x:v>0.03303856050706311</x:v>
      </x:c>
      <x:c r="G110" s="224" t="n">
        <x:f>IF(OR(C110="",C98=""),"",C110/C98-1)</x:f>
        <x:v>0.024665177892309265</x:v>
      </x:c>
      <x:c r="H110" s="224" t="n">
        <x:f>IF(OR(D110="",D98=""),"",D110/D98-1)</x:f>
        <x:v>0.14445333818446415</x:v>
      </x:c>
      <x:c r="I110" s="224" t="n">
        <x:f>IF(OR(E110="",E98=""),"",E110/E98-1)</x:f>
        <x:v>0.028968365297213472</x:v>
      </x:c>
    </x:row>
    <x:row r="111">
      <x:c r="A111" s="225" t="inlineStr">
        <x:is>
          <x:t xml:space="preserve">2026-08</x:t>
        </x:is>
      </x:c>
      <x:c r="B111" s="225" t="n">
        <x:v>334.131</x:v>
      </x:c>
      <x:c r="C111" s="225" t="n">
        <x:v>337.765</x:v>
      </x:c>
      <x:c r="D111" s="225" t="n">
        <x:v>321.148</x:v>
      </x:c>
      <x:c r="E111" s="225" t="n">
        <x:v>460.542</x:v>
      </x:c>
      <x:c r="F111" s="224" t="n">
        <x:f>IF(OR(B111="",B99=""),"",B111/B99-1)</x:f>
        <x:v>0.03353016322755642</x:v>
      </x:c>
      <x:c r="G111" s="224" t="n">
        <x:f>IF(OR(C111="",C99=""),"",C111/C99-1)</x:f>
        <x:v>0.024461631786472537</x:v>
      </x:c>
      <x:c r="H111" s="224" t="n">
        <x:f>IF(OR(D111="",D99=""),"",D111/D99-1)</x:f>
        <x:v>0.16049347026386362</x:v>
      </x:c>
      <x:c r="I111" s="224" t="n">
        <x:f>IF(OR(E111="",E99=""),"",E111/E99-1)</x:f>
        <x:v>0.024612940760302404</x:v>
      </x:c>
    </x:row>
    <x:row r="112">
      <x:c r="A112" s="225" t="inlineStr">
        <x:is>
          <x:t xml:space="preserve">2026-09</x:t>
        </x:is>
      </x:c>
      <x:c r="B112" s="225" t="n">
        <x:v>336.298</x:v>
      </x:c>
      <x:c r="C112" s="225" t="n">
        <x:v>338.896</x:v>
      </x:c>
      <x:c r="D112" s="225" t="n">
        <x:v>337.834</x:v>
      </x:c>
      <x:c r="E112" s="225" t="n">
        <x:v>463.237</x:v>
      </x:c>
      <x:c r="F112" s="224" t="n">
        <x:f>IF(OR(B112="",B100=""),"",B112/B100-1)</x:f>
        <x:v>0.03717250844268993</x:v>
      </x:c>
      <x:c r="G112" s="224" t="n">
        <x:f>IF(OR(C112="",C100=""),"",C112/C100-1)</x:f>
        <x:v>0.025658408440218272</x:v>
      </x:c>
      <x:c r="H112" s="224" t="n">
        <x:f>IF(OR(D112="",D100=""),"",D112/D100-1)</x:f>
        <x:v>0.20354114713216953</x:v>
      </x:c>
      <x:c r="I112" s="224" t="n">
        <x:f>IF(OR(E112="",E100=""),"",E112/E100-1)</x:f>
        <x:v>0.027743759040849136</x:v>
      </x:c>
    </x:row>
    <x:row r="114" s="204" customFormat="1" ht="30" customHeight="1">
      <x:c r="A114" s="45" t="n"/>
      <x:c r="B114" s="1" t="n"/>
      <x:c r="C114" s="1" t="n"/>
      <x:c r="D114" s="1" t="n"/>
      <x:c r="E114" s="1" t="n"/>
      <x:c r="F114" s="1" t="n"/>
      <x:c r="G114" s="1" t="n"/>
      <x:c r="H114" s="1" t="n"/>
      <x:c r="I114" s="1" t="n"/>
    </x:row>
    <x:row r="115" s="204" customFormat="1" ht="30" customHeight="1">
      <x:c r="A115" s="45" t="inlineStr">
        <x:is>
          <x:t xml:space="preserve">METHOD: YoY = current index / same month last year - 1. Missing CPI observations remain blank. Co-movement is not evidence of causality.</x:t>
        </x:is>
      </x:c>
      <x:c r="B115" s="1" t="n"/>
      <x:c r="C115" s="1" t="n"/>
      <x:c r="D115" s="1" t="n"/>
      <x:c r="E115" s="1" t="n"/>
      <x:c r="F115" s="1" t="n"/>
      <x:c r="G115" s="1" t="n"/>
      <x:c r="H115" s="1" t="n"/>
      <x:c r="I115" s="1" t="n"/>
    </x:row>
  </x:sheetData>
  <x:mergeCells>
    <x:mergeCell ref="A115:I115"/>
    <x:mergeCell ref="A1:I2"/>
    <x:mergeCell ref="A3:I3"/>
    <x:mergeCell ref="A114:I114"/>
  </x:mergeCells>
  <x:pageMargins left="0.7" right="0.7" top="0.75" bottom="0.75" header="0.3" footer="0.3"/>
  <x:drawing xmlns:r="http://schemas.openxmlformats.org/officeDocument/2006/relationships" r:id="Re65d87e9f9b3474f"/>
</x:worksheet>
</file>

<file path=xl/worksheets/sheet6.xml><?xml version="1.0" encoding="utf-8"?>
<x:worksheet xmlns:x="http://schemas.openxmlformats.org/spreadsheetml/2006/main">
  <x:sheetViews>
    <x:sheetView workbookViewId="0">
      <x:pane ySplit="12" topLeftCell="A13" activePane="bottomLeft" state="frozen"/>
    </x:sheetView>
  </x:sheetViews>
  <x:sheetFormatPr baseColWidth="8" defaultRowHeight="15"/>
  <x:cols>
    <x:col min="1" max="1" width="12" style="204" customWidth="1"/>
    <x:col min="2" max="2" width="17" style="204" customWidth="1"/>
    <x:col min="3" max="3" width="12" style="204" customWidth="1"/>
    <x:col min="4" max="4" width="17" style="204" customWidth="1"/>
    <x:col min="5" max="5" width="12" style="204" customWidth="1"/>
    <x:col min="6" max="6" width="17" style="204" customWidth="1"/>
    <x:col min="7" max="7" width="12" style="204" customWidth="1"/>
    <x:col min="8" max="8" width="13" style="204" hidden="0" customWidth="1"/>
    <x:col min="9" max="9" width="28" style="204" customWidth="1"/>
    <x:col min="10" max="10" width="22" style="204" customWidth="1"/>
    <x:col min="11" max="11" width="11" style="204" customWidth="1"/>
    <x:col min="12" max="12" width="11" style="204" customWidth="1"/>
    <x:col min="13" max="13" width="11" style="204" customWidth="1"/>
    <x:col min="14" max="14" width="11" style="204" customWidth="1"/>
    <x:col min="15" max="15" width="11" style="204" customWidth="1"/>
    <x:col min="16" max="16" width="11" style="204" customWidth="1"/>
    <x:col min="17" max="17" width="12" style="204" customWidth="1"/>
    <x:col min="18" max="18" width="12" style="204" customWidth="1"/>
    <x:col min="19" max="19" width="12" style="204" customWidth="1"/>
    <x:col min="20" max="20" width="12" style="204" customWidth="1"/>
    <x:col min="21" max="21" width="12" style="204" customWidth="1"/>
    <x:col min="22" max="22" width="12" style="204" customWidth="1"/>
    <x:col min="23" max="23" width="12" style="204" customWidth="1"/>
  </x:cols>
  <x:sheetData>
    <x:row r="1" s="204" customFormat="1" ht="25" customHeight="1">
      <x:c r="A1" s="486" t="inlineStr">
        <x:is>
          <x:t xml:space="preserve">05 | CONSUMER DEMAND — MONTHLY YoY GROWTH (2020–2026)</x:t>
        </x:is>
      </x:c>
      <x:c r="B1" s="486" t="n"/>
      <x:c r="C1" s="486" t="n"/>
      <x:c r="D1" s="486" t="n"/>
      <x:c r="E1" s="486" t="n"/>
      <x:c r="F1" s="486" t="n"/>
      <x:c r="G1" s="486" t="n"/>
      <x:c r="H1" s="486" t="n"/>
      <x:c r="I1" s="486" t="n"/>
      <x:c r="J1" s="486" t="n"/>
      <x:c r="K1" s="487" t="n"/>
      <x:c r="L1" s="487" t="n"/>
      <x:c r="M1" s="487" t="n"/>
      <x:c r="N1" s="487" t="n"/>
      <x:c r="O1" s="487" t="n"/>
      <x:c r="Q1" s="407" t="n"/>
      <x:c r="R1" s="407" t="n"/>
      <x:c r="S1" s="407" t="n"/>
      <x:c r="T1" s="407" t="n"/>
      <x:c r="U1" s="407" t="n"/>
      <x:c r="V1" s="407" t="n"/>
      <x:c r="W1" s="407" t="n"/>
    </x:row>
    <x:row r="2" s="204" customFormat="1" ht="25" customHeight="1">
      <x:c r="A2" s="487" t="n"/>
      <x:c r="B2" s="487" t="n"/>
      <x:c r="C2" s="487" t="n"/>
      <x:c r="D2" s="487" t="n"/>
      <x:c r="E2" s="487" t="n"/>
      <x:c r="F2" s="487" t="n"/>
      <x:c r="G2" s="487" t="n"/>
      <x:c r="H2" s="487" t="n"/>
      <x:c r="I2" s="487" t="n"/>
      <x:c r="J2" s="487" t="n"/>
      <x:c r="K2" s="487" t="n"/>
      <x:c r="L2" s="487" t="n"/>
      <x:c r="M2" s="487" t="n"/>
      <x:c r="N2" s="487" t="n"/>
      <x:c r="O2" s="487" t="n"/>
      <x:c r="Q2" s="407" t="n"/>
      <x:c r="R2" s="407" t="n"/>
      <x:c r="S2" s="407" t="n"/>
      <x:c r="T2" s="407" t="n"/>
      <x:c r="U2" s="407" t="n"/>
      <x:c r="V2" s="407" t="n"/>
      <x:c r="W2" s="407" t="n"/>
    </x:row>
    <x:row r="3" s="204" customFormat="1" ht="28" customHeight="1">
      <x:c r="A3" s="488" t="str">
        <x:v>Historical 2020–2026 real demand data; YoY charts begin Jan 2021 because 2020 supplies the comparison base. Each chart uses official series individually — no composite or rebasing.</x:v>
      </x:c>
      <x:c r="B3" s="488" t="n"/>
      <x:c r="C3" s="488" t="n"/>
      <x:c r="D3" s="488" t="n"/>
      <x:c r="E3" s="488" t="n"/>
      <x:c r="F3" s="488" t="n"/>
      <x:c r="G3" s="488" t="n"/>
      <x:c r="H3" s="488" t="n"/>
      <x:c r="I3" s="488" t="n"/>
      <x:c r="J3" s="488" t="n"/>
      <x:c r="K3" s="487" t="n"/>
      <x:c r="L3" s="487" t="n"/>
      <x:c r="M3" s="487" t="n"/>
      <x:c r="N3" s="487" t="n"/>
      <x:c r="O3" s="487" t="n"/>
      <x:c r="Q3" s="407" t="n"/>
      <x:c r="R3" s="407" t="n"/>
      <x:c r="S3" s="407" t="n"/>
      <x:c r="T3" s="407" t="n"/>
      <x:c r="U3" s="407" t="n"/>
      <x:c r="V3" s="407" t="n"/>
      <x:c r="W3" s="407" t="n"/>
    </x:row>
    <x:row r="4" s="204" customFormat="1" ht="28" customHeight="1">
      <x:c r="A4" s="487" t="n"/>
      <x:c r="B4" s="487" t="n"/>
      <x:c r="C4" s="487" t="n"/>
      <x:c r="D4" s="487" t="n"/>
      <x:c r="E4" s="487" t="n"/>
      <x:c r="F4" s="487" t="n"/>
      <x:c r="G4" s="487" t="n"/>
      <x:c r="H4" s="487" t="n"/>
      <x:c r="I4" s="487" t="n"/>
      <x:c r="J4" s="487" t="n"/>
      <x:c r="K4" s="487" t="n"/>
      <x:c r="L4" s="487" t="n"/>
      <x:c r="M4" s="487" t="n"/>
      <x:c r="N4" s="487" t="n"/>
      <x:c r="O4" s="487" t="n"/>
      <x:c r="P4" s="407" t="n"/>
      <x:c r="Q4" s="407" t="n"/>
      <x:c r="R4" s="407" t="n"/>
      <x:c r="S4" s="407" t="n"/>
      <x:c r="T4" s="407" t="n"/>
      <x:c r="U4" s="407" t="n"/>
      <x:c r="V4" s="407" t="n"/>
      <x:c r="W4" s="407" t="n"/>
    </x:row>
    <x:row r="5" s="204" customFormat="1" ht="26" customHeight="1">
      <x:c r="A5" s="489" t="inlineStr">
        <x:is>
          <x:t xml:space="preserve">THE THREE DEMAND SERIES</x:t>
        </x:is>
      </x:c>
      <x:c r="B5" s="489" t="n"/>
      <x:c r="C5" s="489" t="n"/>
      <x:c r="D5" s="489" t="n"/>
      <x:c r="E5" s="489" t="n"/>
      <x:c r="F5" s="489" t="n"/>
      <x:c r="G5" s="487" t="n"/>
      <x:c r="H5" s="487" t="n"/>
      <x:c r="I5" s="487" t="n"/>
      <x:c r="J5" s="487" t="n"/>
      <x:c r="K5" s="487" t="n"/>
      <x:c r="L5" s="487" t="n"/>
      <x:c r="M5" s="487" t="n"/>
      <x:c r="N5" s="487" t="n"/>
      <x:c r="O5" s="487" t="n"/>
      <x:c r="P5" s="407" t="n"/>
      <x:c r="Q5" s="407" t="n"/>
      <x:c r="R5" s="407" t="n"/>
      <x:c r="S5" s="407" t="n"/>
      <x:c r="T5" s="407" t="n"/>
      <x:c r="U5" s="407" t="n"/>
      <x:c r="V5" s="407" t="n"/>
      <x:c r="W5" s="407" t="n"/>
    </x:row>
    <x:row r="6" s="204" customFormat="1" ht="25" customHeight="1">
      <x:c r="A6" s="490" t="inlineStr">
        <x:is>
          <x:t xml:space="preserve">Series</x:t>
        </x:is>
      </x:c>
      <x:c r="B6" s="490" t="inlineStr">
        <x:is>
          <x:t xml:space="preserve">Source code</x:t>
        </x:is>
      </x:c>
      <x:c r="C6" s="490" t="inlineStr">
        <x:is>
          <x:t xml:space="preserve">Economic meaning</x:t>
        </x:is>
      </x:c>
      <x:c r="D6" s="487" t="n"/>
      <x:c r="E6" s="487" t="n"/>
      <x:c r="F6" s="487" t="n"/>
      <x:c r="G6" s="487" t="n"/>
      <x:c r="H6" s="487" t="n"/>
      <x:c r="I6" s="487" t="n"/>
      <x:c r="J6" s="487" t="n"/>
      <x:c r="K6" s="487" t="n"/>
      <x:c r="L6" s="487" t="n"/>
      <x:c r="M6" s="487" t="n"/>
      <x:c r="N6" s="487" t="n"/>
      <x:c r="O6" s="487" t="n"/>
      <x:c r="P6" s="407" t="n"/>
      <x:c r="Q6" s="407" t="n"/>
      <x:c r="R6" s="407" t="n"/>
      <x:c r="S6" s="407" t="n"/>
      <x:c r="T6" s="407" t="n"/>
      <x:c r="U6" s="407" t="n"/>
      <x:c r="V6" s="407" t="n"/>
      <x:c r="W6" s="407" t="n"/>
    </x:row>
    <x:row r="7" s="204" customFormat="1" ht="31" customHeight="1">
      <x:c r="A7" s="491" t="inlineStr">
        <x:is>
          <x:t xml:space="preserve">Real Retail &amp; Food Services Sales</x:t>
        </x:is>
      </x:c>
      <x:c r="B7" s="491" t="inlineStr">
        <x:is>
          <x:t xml:space="preserve">RRSFS</x:t>
        </x:is>
      </x:c>
      <x:c r="C7" s="491" t="inlineStr">
        <x:is>
          <x:t xml:space="preserve">Inflation-adjusted goods-oriented retail activity (includes dining)</x:t>
        </x:is>
      </x:c>
      <x:c r="D7" s="487" t="n"/>
      <x:c r="E7" s="487" t="n"/>
      <x:c r="F7" s="487" t="n"/>
      <x:c r="G7" s="487" t="n"/>
      <x:c r="H7" s="487" t="n"/>
      <x:c r="I7" s="487" t="n"/>
      <x:c r="J7" s="487" t="n"/>
      <x:c r="K7" s="487" t="n"/>
      <x:c r="L7" s="487" t="n"/>
      <x:c r="M7" s="487" t="n"/>
      <x:c r="N7" s="487" t="n"/>
      <x:c r="O7" s="487" t="n"/>
      <x:c r="P7" s="407" t="n"/>
      <x:c r="Q7" s="407" t="n"/>
      <x:c r="R7" s="407" t="n"/>
      <x:c r="S7" s="407" t="n"/>
      <x:c r="T7" s="407" t="n"/>
      <x:c r="U7" s="407" t="n"/>
      <x:c r="V7" s="407" t="n"/>
      <x:c r="W7" s="407" t="n"/>
    </x:row>
    <x:row r="8" s="204" customFormat="1" ht="31" customHeight="1">
      <x:c r="A8" s="491" t="inlineStr">
        <x:is>
          <x:t xml:space="preserve">Total Real PCE</x:t>
        </x:is>
      </x:c>
      <x:c r="B8" s="491" t="inlineStr">
        <x:is>
          <x:t xml:space="preserve">PCEC96</x:t>
        </x:is>
      </x:c>
      <x:c r="C8" s="491" t="inlineStr">
        <x:is>
          <x:t xml:space="preserve">Broad real household consumption across goods and services</x:t>
        </x:is>
      </x:c>
      <x:c r="D8" s="487" t="n"/>
      <x:c r="E8" s="487" t="n"/>
      <x:c r="F8" s="487" t="n"/>
      <x:c r="G8" s="487" t="n"/>
      <x:c r="H8" s="487" t="n"/>
      <x:c r="I8" s="487" t="n"/>
      <x:c r="J8" s="492" t="n"/>
      <x:c r="K8" s="493" t="n"/>
      <x:c r="L8" s="493" t="n"/>
      <x:c r="M8" s="494" t="n"/>
      <x:c r="N8" s="487" t="n"/>
      <x:c r="O8" s="487" t="n"/>
      <x:c r="P8" s="407" t="n"/>
      <x:c r="Q8" s="407" t="n"/>
      <x:c r="R8" s="407" t="n"/>
      <x:c r="S8" s="407" t="n"/>
      <x:c r="T8" s="407" t="n"/>
      <x:c r="U8" s="407" t="n"/>
      <x:c r="V8" s="407" t="n"/>
      <x:c r="W8" s="407" t="n"/>
    </x:row>
    <x:row r="9" s="204" customFormat="1" ht="31" customHeight="1">
      <x:c r="A9" s="491" t="inlineStr">
        <x:is>
          <x:t xml:space="preserve">Real Services PCE</x:t>
        </x:is>
      </x:c>
      <x:c r="B9" s="491" t="inlineStr">
        <x:is>
          <x:t xml:space="preserve">PCESC96</x:t>
        </x:is>
      </x:c>
      <x:c r="C9" s="491" t="inlineStr">
        <x:is>
          <x:t xml:space="preserve">Inflation-adjusted spending on services</x:t>
        </x:is>
      </x:c>
      <x:c r="D9" s="487" t="n"/>
      <x:c r="E9" s="487" t="n"/>
      <x:c r="F9" s="487" t="n"/>
      <x:c r="G9" s="487" t="n"/>
      <x:c r="H9" s="487" t="n"/>
      <x:c r="I9" s="487" t="n"/>
      <x:c r="J9" s="495" t="n"/>
      <x:c r="K9" s="493" t="n"/>
      <x:c r="L9" s="493" t="n"/>
      <x:c r="M9" s="494" t="n"/>
      <x:c r="N9" s="487" t="n"/>
      <x:c r="O9" s="494" t="n"/>
      <x:c r="P9" s="416" t="n"/>
      <x:c r="Q9" s="407" t="n"/>
      <x:c r="R9" s="407" t="n"/>
      <x:c r="S9" s="407" t="n"/>
      <x:c r="T9" s="407" t="n"/>
      <x:c r="U9" s="407" t="n"/>
      <x:c r="V9" s="407" t="n"/>
      <x:c r="W9" s="407" t="n"/>
    </x:row>
    <x:row r="10" s="204" customFormat="1" ht="26" customHeight="1">
      <x:c r="A10" s="487" t="n"/>
      <x:c r="B10" s="487" t="n"/>
      <x:c r="C10" s="487" t="n"/>
      <x:c r="D10" s="492" t="n"/>
      <x:c r="E10" s="487" t="n"/>
      <x:c r="F10" s="487" t="n"/>
      <x:c r="G10" s="487" t="n"/>
      <x:c r="H10" s="487" t="n"/>
      <x:c r="I10" s="487" t="n"/>
      <x:c r="J10" s="487" t="n"/>
      <x:c r="K10" s="487" t="n"/>
      <x:c r="L10" s="487" t="n"/>
      <x:c r="M10" s="487" t="n"/>
      <x:c r="N10" s="487" t="n"/>
      <x:c r="O10" s="487" t="n"/>
      <x:c r="Q10" s="407" t="n"/>
      <x:c r="R10" s="407" t="n"/>
      <x:c r="S10" s="407" t="n"/>
      <x:c r="T10" s="407" t="n"/>
      <x:c r="U10" s="407" t="n"/>
      <x:c r="V10" s="407" t="n"/>
      <x:c r="W10" s="407" t="n"/>
    </x:row>
    <x:row r="11" s="204" customFormat="1" ht="25" customHeight="1">
      <x:c r="A11" s="489" t="inlineStr">
        <x:is>
          <x:t xml:space="preserve">OFFICIAL MONTHLY OBSERVATIONS + SIMPLE YoY FORMULAS</x:t>
        </x:is>
      </x:c>
      <x:c r="B11" s="489" t="n"/>
      <x:c r="C11" s="489" t="n"/>
      <x:c r="D11" s="489" t="n"/>
      <x:c r="E11" s="489" t="n"/>
      <x:c r="F11" s="489" t="n"/>
      <x:c r="G11" s="489" t="n"/>
      <x:c r="H11" s="489" t="n"/>
      <x:c r="I11" s="489" t="n"/>
      <x:c r="J11" s="489" t="n"/>
      <x:c r="K11" s="493" t="n"/>
      <x:c r="L11" s="493" t="n"/>
      <x:c r="M11" s="494" t="n"/>
      <x:c r="N11" s="487" t="n"/>
      <x:c r="O11" s="494" t="n"/>
      <x:c r="P11" s="416" t="n"/>
      <x:c r="Q11" s="407" t="n"/>
      <x:c r="R11" s="407" t="n"/>
      <x:c r="S11" s="407" t="n"/>
      <x:c r="T11" s="407" t="n"/>
      <x:c r="U11" s="407" t="n"/>
      <x:c r="V11" s="407" t="n"/>
      <x:c r="W11" s="407" t="n"/>
    </x:row>
    <x:row r="12" s="204" customFormat="1" ht="42" customHeight="1">
      <x:c r="A12" s="496" t="inlineStr">
        <x:is>
          <x:t xml:space="preserve">Month</x:t>
        </x:is>
      </x:c>
      <x:c r="B12" s="497" t="inlineStr">
        <x:is>
          <x:t xml:space="preserve">Real Retail Sales
(RRSFS, CPI-adjusted $mn)</x:t>
        </x:is>
      </x:c>
      <x:c r="C12" s="497" t="inlineStr">
        <x:is>
          <x:t xml:space="preserve">Retail YoY</x:t>
        </x:is>
      </x:c>
      <x:c r="D12" s="498" t="inlineStr">
        <x:is>
          <x:t xml:space="preserve">Total Real PCE
(PCEC96, chained 2017 $bn SAAR)</x:t>
        </x:is>
      </x:c>
      <x:c r="E12" s="498" t="inlineStr">
        <x:is>
          <x:t xml:space="preserve">Total PCE YoY</x:t>
        </x:is>
      </x:c>
      <x:c r="F12" s="499" t="inlineStr">
        <x:is>
          <x:t xml:space="preserve">Real Services PCE
(PCESC96, chained 2017 $bn SAAR)</x:t>
        </x:is>
      </x:c>
      <x:c r="G12" s="499" t="inlineStr">
        <x:is>
          <x:t xml:space="preserve">Services YoY</x:t>
        </x:is>
      </x:c>
      <x:c r="H12" s="813" t="str">
        <x:v>Chart Month</x:v>
      </x:c>
      <x:c r="I12" s="498" t="inlineStr">
        <x:is>
          <x:t xml:space="preserve">LATEST READ</x:t>
        </x:is>
      </x:c>
      <x:c r="J12" s="497" t="inlineStr">
        <x:is>
          <x:t xml:space="preserve"/>
        </x:is>
      </x:c>
      <x:c r="K12" s="501" t="n"/>
      <x:c r="L12" s="500" t="n"/>
      <x:c r="M12" s="500" t="n"/>
      <x:c r="N12" s="487" t="n"/>
      <x:c r="O12" s="494" t="n"/>
      <x:c r="P12" s="416" t="n"/>
      <x:c r="Q12" s="407" t="n"/>
      <x:c r="R12" s="407" t="n"/>
      <x:c r="S12" s="407" t="n"/>
      <x:c r="T12" s="407" t="n"/>
      <x:c r="U12" s="407" t="n"/>
      <x:c r="V12" s="407" t="n"/>
      <x:c r="W12" s="407" t="n"/>
    </x:row>
    <x:row r="13" s="204" customFormat="1" ht="19" customHeight="1">
      <x:c r="A13" s="502" t="n">
        <x:v>43831</x:v>
      </x:c>
      <x:c r="B13" s="503" t="n">
        <x:v>198905</x:v>
      </x:c>
      <x:c r="C13" s="504" t="n"/>
      <x:c r="D13" s="505" t="n">
        <x:v>14230.7</x:v>
      </x:c>
      <x:c r="E13" s="504" t="n"/>
      <x:c r="F13" s="505" t="n">
        <x:v>9648.4</x:v>
      </x:c>
      <x:c r="G13" s="504" t="n"/>
      <x:c r="H13" s="814" t="str">
        <x:v>2020-01</x:v>
      </x:c>
      <x:c r="I13" s="506" t="inlineStr">
        <x:is>
          <x:t xml:space="preserve">Latest retail YoY (Sep-2026)</x:t>
        </x:is>
      </x:c>
      <x:c r="J13" s="507" t="n">
        <x:f>C93</x:f>
        <x:v>0.024780390324684598</x:v>
      </x:c>
      <x:c r="K13" s="501" t="n"/>
      <x:c r="L13" s="500" t="n"/>
      <x:c r="M13" s="500" t="n"/>
      <x:c r="N13" s="487" t="n"/>
      <x:c r="O13" s="487" t="n"/>
      <x:c r="P13" s="407" t="n"/>
      <x:c r="Q13" s="407" t="n"/>
      <x:c r="R13" s="407" t="n"/>
      <x:c r="S13" s="407" t="n"/>
      <x:c r="T13" s="407" t="n"/>
      <x:c r="U13" s="407" t="n"/>
      <x:c r="V13" s="407" t="n"/>
      <x:c r="W13" s="407" t="n"/>
    </x:row>
    <x:row r="14" s="204" customFormat="1" ht="19" customHeight="1">
      <x:c r="A14" s="508" t="n">
        <x:v>43862</x:v>
      </x:c>
      <x:c r="B14" s="509" t="n">
        <x:v>198959</x:v>
      </x:c>
      <x:c r="C14" s="510" t="n"/>
      <x:c r="D14" s="511" t="n">
        <x:v>14181.4</x:v>
      </x:c>
      <x:c r="E14" s="510" t="n"/>
      <x:c r="F14" s="511" t="n">
        <x:v>9595</x:v>
      </x:c>
      <x:c r="G14" s="510" t="n"/>
      <x:c r="H14" s="814" t="str">
        <x:v>2020-02</x:v>
      </x:c>
      <x:c r="I14" s="506" t="inlineStr">
        <x:is>
          <x:t xml:space="preserve">Latest total PCE YoY (Aug-2026)</x:t>
        </x:is>
      </x:c>
      <x:c r="J14" s="507" t="n">
        <x:f>E92</x:f>
        <x:v>0.02574759372523383</x:v>
      </x:c>
      <x:c r="K14" s="501" t="n"/>
      <x:c r="L14" s="500" t="n"/>
      <x:c r="M14" s="500" t="n"/>
      <x:c r="N14" s="487" t="n"/>
      <x:c r="O14" s="487" t="n"/>
      <x:c r="P14" s="407" t="n"/>
      <x:c r="Q14" s="407" t="n"/>
      <x:c r="R14" s="407" t="n"/>
      <x:c r="S14" s="407" t="n"/>
      <x:c r="T14" s="407" t="n"/>
      <x:c r="U14" s="407" t="n"/>
      <x:c r="V14" s="407" t="n"/>
      <x:c r="W14" s="407" t="n"/>
    </x:row>
    <x:row r="15" s="204" customFormat="1" ht="19" customHeight="1">
      <x:c r="A15" s="502" t="n">
        <x:v>43891</x:v>
      </x:c>
      <x:c r="B15" s="503" t="n">
        <x:v>181587</x:v>
      </x:c>
      <x:c r="C15" s="504" t="n"/>
      <x:c r="D15" s="505" t="n">
        <x:v>13249.1</x:v>
      </x:c>
      <x:c r="E15" s="504" t="n"/>
      <x:c r="F15" s="505" t="n">
        <x:v>8759.700000000001</x:v>
      </x:c>
      <x:c r="G15" s="504" t="n"/>
      <x:c r="H15" s="814" t="str">
        <x:v>2020-03</x:v>
      </x:c>
      <x:c r="I15" s="506" t="inlineStr">
        <x:is>
          <x:t xml:space="preserve">Latest services YoY (Aug-2026)</x:t>
        </x:is>
      </x:c>
      <x:c r="J15" s="507" t="n">
        <x:f>G92</x:f>
        <x:v>0.024978451042602767</x:v>
      </x:c>
      <x:c r="K15" s="501" t="n"/>
      <x:c r="L15" s="500" t="n"/>
      <x:c r="M15" s="500" t="n"/>
      <x:c r="N15" s="487" t="n"/>
      <x:c r="O15" s="487" t="n"/>
      <x:c r="P15" s="407" t="n"/>
      <x:c r="Q15" s="407" t="n"/>
      <x:c r="R15" s="407" t="n"/>
      <x:c r="S15" s="407" t="n"/>
      <x:c r="T15" s="407" t="n"/>
      <x:c r="U15" s="407" t="n"/>
      <x:c r="V15" s="407" t="n"/>
      <x:c r="W15" s="407" t="n"/>
    </x:row>
    <x:row r="16" s="204" customFormat="1" ht="42" customHeight="1">
      <x:c r="A16" s="508" t="n">
        <x:v>43922</x:v>
      </x:c>
      <x:c r="B16" s="509" t="n">
        <x:v>157073</x:v>
      </x:c>
      <x:c r="C16" s="510" t="n"/>
      <x:c r="D16" s="511" t="n">
        <x:v>11798.6</x:v>
      </x:c>
      <x:c r="E16" s="510" t="n"/>
      <x:c r="F16" s="511" t="n">
        <x:v>7835.9</x:v>
      </x:c>
      <x:c r="G16" s="510" t="n"/>
      <x:c r="H16" s="814" t="str">
        <x:v>2020-04</x:v>
      </x:c>
      <x:c r="I16" s="506" t="inlineStr">
        <x:is>
          <x:t xml:space="preserve">Interpretation</x:t>
        </x:is>
      </x:c>
      <x:c r="J16" s="512" t="inlineStr">
        <x:is>
          <x:t xml:space="preserve">Demand is still expanding, but the YoY growth backdrop is far less heated than the 2021–2022 reopening surge.</x:t>
        </x:is>
      </x:c>
      <x:c r="K16" s="501" t="n"/>
      <x:c r="L16" s="500" t="n"/>
      <x:c r="M16" s="500" t="n"/>
      <x:c r="N16" s="487" t="n"/>
      <x:c r="O16" s="487" t="n"/>
      <x:c r="P16" s="407" t="n"/>
      <x:c r="Q16" s="407" t="n"/>
      <x:c r="R16" s="407" t="n"/>
      <x:c r="S16" s="407" t="n"/>
      <x:c r="T16" s="407" t="n"/>
      <x:c r="U16" s="407" t="n"/>
      <x:c r="V16" s="407" t="n"/>
      <x:c r="W16" s="407" t="n"/>
    </x:row>
    <x:row r="17" s="204" customFormat="1" ht="19" customHeight="1">
      <x:c r="A17" s="502" t="n">
        <x:v>43952</x:v>
      </x:c>
      <x:c r="B17" s="503" t="n">
        <x:v>187745</x:v>
      </x:c>
      <x:c r="C17" s="504" t="n"/>
      <x:c r="D17" s="505" t="n">
        <x:v>12780.5</x:v>
      </x:c>
      <x:c r="E17" s="504" t="n"/>
      <x:c r="F17" s="505" t="n">
        <x:v>8238.1</x:v>
      </x:c>
      <x:c r="G17" s="504" t="n"/>
      <x:c r="H17" s="814" t="str">
        <x:v>2020-05</x:v>
      </x:c>
      <x:c r="I17" s="500" t="n"/>
      <x:c r="J17" s="501" t="n"/>
      <x:c r="K17" s="501" t="n"/>
      <x:c r="L17" s="500" t="n"/>
      <x:c r="M17" s="500" t="n"/>
      <x:c r="N17" s="487" t="n"/>
      <x:c r="O17" s="487" t="n"/>
      <x:c r="P17" s="407" t="n"/>
      <x:c r="Q17" s="407" t="n"/>
      <x:c r="R17" s="407" t="n"/>
      <x:c r="S17" s="407" t="n"/>
      <x:c r="T17" s="407" t="n"/>
      <x:c r="U17" s="407" t="n"/>
      <x:c r="V17" s="407" t="n"/>
      <x:c r="W17" s="407" t="n"/>
    </x:row>
    <x:row r="18" s="204" customFormat="1" ht="19" customHeight="1">
      <x:c r="A18" s="508" t="n">
        <x:v>43983</x:v>
      </x:c>
      <x:c r="B18" s="509" t="n">
        <x:v>201912</x:v>
      </x:c>
      <x:c r="C18" s="510" t="n"/>
      <x:c r="D18" s="511" t="n">
        <x:v>13476.8</x:v>
      </x:c>
      <x:c r="E18" s="510" t="n"/>
      <x:c r="F18" s="511" t="n">
        <x:v>8678.6</x:v>
      </x:c>
      <x:c r="G18" s="510" t="n"/>
      <x:c r="H18" s="814" t="str">
        <x:v>2020-06</x:v>
      </x:c>
      <x:c r="I18" s="500" t="n"/>
      <x:c r="J18" s="501" t="n"/>
      <x:c r="K18" s="501" t="n"/>
      <x:c r="L18" s="500" t="n"/>
      <x:c r="M18" s="500" t="n"/>
      <x:c r="N18" s="487" t="n"/>
      <x:c r="O18" s="487" t="n"/>
      <x:c r="P18" s="407" t="n"/>
      <x:c r="Q18" s="407" t="n"/>
      <x:c r="R18" s="407" t="n"/>
      <x:c r="S18" s="407" t="n"/>
      <x:c r="T18" s="407" t="n"/>
      <x:c r="U18" s="407" t="n"/>
      <x:c r="V18" s="407" t="n"/>
      <x:c r="W18" s="407" t="n"/>
    </x:row>
    <x:row r="19" s="204" customFormat="1" ht="19" customHeight="1">
      <x:c r="A19" s="502" t="n">
        <x:v>44013</x:v>
      </x:c>
      <x:c r="B19" s="503" t="n">
        <x:v>203961</x:v>
      </x:c>
      <x:c r="C19" s="504" t="n"/>
      <x:c r="D19" s="505" t="n">
        <x:v>13683.5</x:v>
      </x:c>
      <x:c r="E19" s="504" t="n"/>
      <x:c r="F19" s="505" t="n">
        <x:v>8800.299999999999</x:v>
      </x:c>
      <x:c r="G19" s="504" t="n"/>
      <x:c r="H19" s="814" t="str">
        <x:v>2020-07</x:v>
      </x:c>
      <x:c r="I19" s="500" t="n"/>
      <x:c r="J19" s="501" t="n"/>
      <x:c r="K19" s="501" t="n"/>
      <x:c r="L19" s="500" t="n"/>
      <x:c r="M19" s="500" t="n"/>
      <x:c r="N19" s="487" t="n"/>
      <x:c r="O19" s="487" t="n"/>
      <x:c r="P19" s="407" t="n"/>
      <x:c r="Q19" s="407" t="n"/>
      <x:c r="R19" s="407" t="n"/>
      <x:c r="S19" s="407" t="n"/>
      <x:c r="T19" s="407" t="n"/>
      <x:c r="U19" s="407" t="n"/>
      <x:c r="V19" s="407" t="n"/>
      <x:c r="W19" s="407" t="n"/>
    </x:row>
    <x:row r="20" s="204" customFormat="1" ht="19" customHeight="1">
      <x:c r="A20" s="508" t="n">
        <x:v>44044</x:v>
      </x:c>
      <x:c r="B20" s="509" t="n">
        <x:v>204777</x:v>
      </x:c>
      <x:c r="C20" s="510" t="n"/>
      <x:c r="D20" s="511" t="n">
        <x:v>13793</x:v>
      </x:c>
      <x:c r="E20" s="510" t="n"/>
      <x:c r="F20" s="511" t="n">
        <x:v>8915</x:v>
      </x:c>
      <x:c r="G20" s="510" t="n"/>
      <x:c r="H20" s="814" t="str">
        <x:v>2020-08</x:v>
      </x:c>
      <x:c r="I20" s="500" t="n"/>
      <x:c r="J20" s="501" t="n"/>
      <x:c r="K20" s="501" t="n"/>
      <x:c r="L20" s="500" t="n"/>
      <x:c r="M20" s="500" t="n"/>
      <x:c r="N20" s="487" t="n"/>
      <x:c r="O20" s="487" t="n"/>
      <x:c r="P20" s="407" t="n"/>
      <x:c r="Q20" s="407" t="n"/>
      <x:c r="R20" s="407" t="n"/>
      <x:c r="S20" s="407" t="n"/>
      <x:c r="T20" s="407" t="n"/>
      <x:c r="U20" s="407" t="n"/>
      <x:c r="V20" s="407" t="n"/>
      <x:c r="W20" s="407" t="n"/>
    </x:row>
    <x:row r="21" s="204" customFormat="1" ht="19" customHeight="1">
      <x:c r="A21" s="502" t="n">
        <x:v>44075</x:v>
      </x:c>
      <x:c r="B21" s="503" t="n">
        <x:v>208172</x:v>
      </x:c>
      <x:c r="C21" s="504" t="n"/>
      <x:c r="D21" s="505" t="n">
        <x:v>13964.6</x:v>
      </x:c>
      <x:c r="E21" s="504" t="n"/>
      <x:c r="F21" s="505" t="n">
        <x:v>9023.1</x:v>
      </x:c>
      <x:c r="G21" s="504" t="n"/>
      <x:c r="H21" s="814" t="str">
        <x:v>2020-09</x:v>
      </x:c>
      <x:c r="I21" s="500" t="n"/>
      <x:c r="J21" s="501" t="n"/>
      <x:c r="K21" s="501" t="n"/>
      <x:c r="L21" s="500" t="n"/>
      <x:c r="M21" s="500" t="n"/>
      <x:c r="N21" s="487" t="n"/>
      <x:c r="O21" s="487" t="n"/>
      <x:c r="P21" s="407" t="n"/>
      <x:c r="Q21" s="407" t="n"/>
      <x:c r="R21" s="407" t="n"/>
      <x:c r="S21" s="407" t="n"/>
      <x:c r="T21" s="407" t="n"/>
      <x:c r="U21" s="407" t="n"/>
      <x:c r="V21" s="407" t="n"/>
      <x:c r="W21" s="407" t="n"/>
    </x:row>
    <x:row r="22" s="204" customFormat="1" ht="19" customHeight="1">
      <x:c r="A22" s="508" t="n">
        <x:v>44105</x:v>
      </x:c>
      <x:c r="B22" s="509" t="n">
        <x:v>207234</x:v>
      </x:c>
      <x:c r="C22" s="510" t="n"/>
      <x:c r="D22" s="511" t="n">
        <x:v>14007.1</x:v>
      </x:c>
      <x:c r="E22" s="510" t="n"/>
      <x:c r="F22" s="511" t="n">
        <x:v>9078</x:v>
      </x:c>
      <x:c r="G22" s="510" t="n"/>
      <x:c r="H22" s="814" t="str">
        <x:v>2020-10</x:v>
      </x:c>
      <x:c r="I22" s="500" t="n"/>
      <x:c r="J22" s="501" t="n"/>
      <x:c r="K22" s="501" t="n"/>
      <x:c r="L22" s="500" t="n"/>
      <x:c r="M22" s="500" t="n"/>
      <x:c r="N22" s="487" t="n"/>
      <x:c r="O22" s="487" t="n"/>
      <x:c r="P22" s="407" t="n"/>
      <x:c r="Q22" s="407" t="n"/>
      <x:c r="R22" s="407" t="n"/>
      <x:c r="S22" s="407" t="n"/>
      <x:c r="T22" s="407" t="n"/>
      <x:c r="U22" s="407" t="n"/>
      <x:c r="V22" s="407" t="n"/>
      <x:c r="W22" s="407" t="n"/>
    </x:row>
    <x:row r="23" s="204" customFormat="1" ht="19" customHeight="1">
      <x:c r="A23" s="502" t="n">
        <x:v>44136</x:v>
      </x:c>
      <x:c r="B23" s="503" t="n">
        <x:v>204874</x:v>
      </x:c>
      <x:c r="C23" s="504" t="n"/>
      <x:c r="D23" s="505" t="n">
        <x:v>13970.3</x:v>
      </x:c>
      <x:c r="E23" s="504" t="n"/>
      <x:c r="F23" s="505" t="n">
        <x:v>9062.299999999999</x:v>
      </x:c>
      <x:c r="G23" s="504" t="n"/>
      <x:c r="H23" s="814" t="str">
        <x:v>2020-11</x:v>
      </x:c>
      <x:c r="I23" s="500" t="n"/>
      <x:c r="J23" s="501" t="n"/>
      <x:c r="K23" s="501" t="n"/>
      <x:c r="L23" s="500" t="n"/>
      <x:c r="M23" s="500" t="n"/>
      <x:c r="N23" s="487" t="n"/>
      <x:c r="O23" s="487" t="n"/>
      <x:c r="P23" s="407" t="n"/>
      <x:c r="Q23" s="407" t="n"/>
      <x:c r="R23" s="407" t="n"/>
      <x:c r="S23" s="407" t="n"/>
      <x:c r="T23" s="407" t="n"/>
      <x:c r="U23" s="407" t="n"/>
      <x:c r="V23" s="407" t="n"/>
      <x:c r="W23" s="407" t="n"/>
    </x:row>
    <x:row r="24" s="204" customFormat="1" ht="19" customHeight="1">
      <x:c r="A24" s="508" t="n">
        <x:v>44166</x:v>
      </x:c>
      <x:c r="B24" s="509" t="n">
        <x:v>205851</x:v>
      </x:c>
      <x:c r="C24" s="510" t="n"/>
      <x:c r="D24" s="511" t="n">
        <x:v>14026.7</x:v>
      </x:c>
      <x:c r="E24" s="510" t="n"/>
      <x:c r="F24" s="511" t="n">
        <x:v>9074.6</x:v>
      </x:c>
      <x:c r="G24" s="510" t="n"/>
      <x:c r="H24" s="815" t="str">
        <x:v>2020-12</x:v>
      </x:c>
      <x:c r="I24" s="487" t="n"/>
      <x:c r="J24" s="487" t="n"/>
      <x:c r="K24" s="487" t="n"/>
      <x:c r="L24" s="487" t="n"/>
      <x:c r="M24" s="487" t="n"/>
      <x:c r="N24" s="487" t="n"/>
      <x:c r="O24" s="487" t="n"/>
      <x:c r="P24" s="407" t="n"/>
      <x:c r="Q24" s="407" t="n"/>
      <x:c r="R24" s="407" t="n"/>
      <x:c r="S24" s="407" t="n"/>
      <x:c r="T24" s="407" t="n"/>
      <x:c r="U24" s="407" t="n"/>
      <x:c r="V24" s="407" t="n"/>
      <x:c r="W24" s="407" t="n"/>
    </x:row>
    <x:row r="25" s="204" customFormat="1" ht="19" customHeight="1">
      <x:c r="A25" s="502" t="n">
        <x:v>44197</x:v>
      </x:c>
      <x:c r="B25" s="503" t="n">
        <x:v>213081</x:v>
      </x:c>
      <x:c r="C25" s="504" t="n">
        <x:f>IF(OR(B25="",B13=""),"",B25/B13-1)</x:f>
        <x:v>0.07127020436891973</x:v>
      </x:c>
      <x:c r="D25" s="505" t="n">
        <x:v>14215.2</x:v>
      </x:c>
      <x:c r="E25" s="504" t="n">
        <x:f>IF(OR(D25="",D13=""),"",D25/D13-1)</x:f>
        <x:v>-0.0010891944879731774</x:v>
      </x:c>
      <x:c r="F25" s="505" t="n">
        <x:v>9150.200000000001</x:v>
      </x:c>
      <x:c r="G25" s="504" t="n">
        <x:f>IF(OR(F25="",F13=""),"",F25/F13-1)</x:f>
        <x:v>-0.051635504332324444</x:v>
      </x:c>
      <x:c r="H25" s="815" t="str">
        <x:v>2021-01</x:v>
      </x:c>
      <x:c r="I25" s="487" t="n"/>
      <x:c r="J25" s="487" t="n"/>
      <x:c r="K25" s="487" t="n"/>
      <x:c r="L25" s="487" t="n"/>
      <x:c r="M25" s="487" t="n"/>
      <x:c r="N25" s="487" t="n"/>
      <x:c r="O25" s="487" t="n"/>
      <x:c r="P25" s="407" t="n"/>
      <x:c r="Q25" s="407" t="n"/>
      <x:c r="R25" s="407" t="n"/>
      <x:c r="S25" s="407" t="n"/>
      <x:c r="T25" s="407" t="n"/>
      <x:c r="U25" s="407" t="n"/>
      <x:c r="V25" s="407" t="n"/>
      <x:c r="W25" s="407" t="n"/>
    </x:row>
    <x:row r="26" s="204" customFormat="1" ht="19" customHeight="1">
      <x:c r="A26" s="508" t="n">
        <x:v>44228</x:v>
      </x:c>
      <x:c r="B26" s="509" t="n">
        <x:v>206927</x:v>
      </x:c>
      <x:c r="C26" s="510" t="n">
        <x:f>IF(OR(B26="",B14=""),"",B26/B14-1)</x:f>
        <x:v>0.04004845219366815</x:v>
      </x:c>
      <x:c r="D26" s="511" t="n">
        <x:v>14073.1</x:v>
      </x:c>
      <x:c r="E26" s="510" t="n">
        <x:f>IF(OR(D26="",D14=""),"",D26/D14-1)</x:f>
        <x:v>-0.007636763648158795</x:v>
      </x:c>
      <x:c r="F26" s="511" t="n">
        <x:v>9132</x:v>
      </x:c>
      <x:c r="G26" s="510" t="n">
        <x:f>IF(OR(F26="",F14=""),"",F26/F14-1)</x:f>
        <x:v>-0.048254299114121935</x:v>
      </x:c>
      <x:c r="H26" s="815" t="str">
        <x:v>2021-02</x:v>
      </x:c>
      <x:c r="I26" s="487" t="n"/>
      <x:c r="J26" s="487" t="n"/>
      <x:c r="K26" s="487" t="n"/>
      <x:c r="L26" s="487" t="n"/>
      <x:c r="M26" s="487" t="n"/>
      <x:c r="N26" s="487" t="n"/>
      <x:c r="O26" s="494" t="n"/>
      <x:c r="P26" s="416" t="n"/>
      <x:c r="Q26" s="407" t="n"/>
      <x:c r="R26" s="407" t="n"/>
      <x:c r="S26" s="407" t="n"/>
      <x:c r="T26" s="407" t="n"/>
      <x:c r="U26" s="407" t="n"/>
      <x:c r="V26" s="407" t="n"/>
      <x:c r="W26" s="407" t="n"/>
    </x:row>
    <x:row r="27" s="204" customFormat="1" ht="19" customHeight="1">
      <x:c r="A27" s="502" t="n">
        <x:v>44256</x:v>
      </x:c>
      <x:c r="B27" s="503" t="n">
        <x:v>227800</x:v>
      </x:c>
      <x:c r="C27" s="504" t="n">
        <x:f>IF(OR(B27="",B15=""),"",B27/B15-1)</x:f>
        <x:v>0.25449509050758046</x:v>
      </x:c>
      <x:c r="D27" s="505" t="n">
        <x:v>14682.2</x:v>
      </x:c>
      <x:c r="E27" s="504" t="n">
        <x:f>IF(OR(D27="",D15=""),"",D27/D15-1)</x:f>
        <x:v>0.10816583767954047</x:v>
      </x:c>
      <x:c r="F27" s="505" t="n">
        <x:v>9312.299999999999</x:v>
      </x:c>
      <x:c r="G27" s="504" t="n">
        <x:f>IF(OR(F27="",F15=""),"",F27/F15-1)</x:f>
        <x:v>0.06308435220384245</x:v>
      </x:c>
      <x:c r="H27" s="815" t="str">
        <x:v>2021-03</x:v>
      </x:c>
      <x:c r="I27" s="487" t="n"/>
      <x:c r="J27" s="487" t="n"/>
      <x:c r="K27" s="487" t="n"/>
      <x:c r="L27" s="487" t="n"/>
      <x:c r="M27" s="487" t="n"/>
      <x:c r="N27" s="487" t="n"/>
      <x:c r="O27" s="494" t="n"/>
      <x:c r="P27" s="416" t="n"/>
      <x:c r="Q27" s="407" t="n"/>
      <x:c r="R27" s="407" t="n"/>
      <x:c r="S27" s="407" t="n"/>
      <x:c r="T27" s="407" t="n"/>
      <x:c r="U27" s="407" t="n"/>
      <x:c r="V27" s="407" t="n"/>
      <x:c r="W27" s="407" t="n"/>
    </x:row>
    <x:row r="28" s="204" customFormat="1" ht="19" customHeight="1">
      <x:c r="A28" s="508" t="n">
        <x:v>44287</x:v>
      </x:c>
      <x:c r="B28" s="509" t="n">
        <x:v>228513</x:v>
      </x:c>
      <x:c r="C28" s="510" t="n">
        <x:f>IF(OR(B28="",B16=""),"",B28/B16-1)</x:f>
        <x:v>0.4548203701463651</x:v>
      </x:c>
      <x:c r="D28" s="511" t="n">
        <x:v>14801.6</x:v>
      </x:c>
      <x:c r="E28" s="510" t="n">
        <x:f>IF(OR(D28="",D16=""),"",D28/D16-1)</x:f>
        <x:v>0.25452172291627817</x:v>
      </x:c>
      <x:c r="F28" s="511" t="n">
        <x:v>9419.299999999999</x:v>
      </x:c>
      <x:c r="G28" s="510" t="n">
        <x:f>IF(OR(F28="",F16=""),"",F28/F16-1)</x:f>
        <x:v>0.20206996005564126</x:v>
      </x:c>
      <x:c r="H28" s="815" t="str">
        <x:v>2021-04</x:v>
      </x:c>
      <x:c r="I28" s="487" t="n"/>
      <x:c r="J28" s="487" t="n"/>
      <x:c r="K28" s="487" t="n"/>
      <x:c r="L28" s="487" t="n"/>
      <x:c r="M28" s="487" t="n"/>
      <x:c r="N28" s="487" t="n"/>
      <x:c r="O28" s="487" t="n"/>
      <x:c r="P28" s="407" t="n"/>
      <x:c r="Q28" s="407" t="n"/>
      <x:c r="R28" s="407" t="n"/>
      <x:c r="S28" s="407" t="n"/>
      <x:c r="T28" s="407" t="n"/>
      <x:c r="U28" s="407" t="n"/>
      <x:c r="V28" s="407" t="n"/>
      <x:c r="W28" s="407" t="n"/>
    </x:row>
    <x:row r="29" s="204" customFormat="1" ht="19" customHeight="1">
      <x:c r="A29" s="502" t="n">
        <x:v>44317</x:v>
      </x:c>
      <x:c r="B29" s="503" t="n">
        <x:v>225644</x:v>
      </x:c>
      <x:c r="C29" s="504" t="n">
        <x:f>IF(OR(B29="",B17=""),"",B29/B17-1)</x:f>
        <x:v>0.20186423073850168</x:v>
      </x:c>
      <x:c r="D29" s="505" t="n">
        <x:v>14782.2</x:v>
      </x:c>
      <x:c r="E29" s="504" t="n">
        <x:f>IF(OR(D29="",D17=""),"",D29/D17-1)</x:f>
        <x:v>0.15662141543758068</x:v>
      </x:c>
      <x:c r="F29" s="505" t="n">
        <x:v>9504.1</x:v>
      </x:c>
      <x:c r="G29" s="504" t="n">
        <x:f>IF(OR(F29="",F17=""),"",F29/F17-1)</x:f>
        <x:v>0.1536762117478545</x:v>
      </x:c>
      <x:c r="H29" s="815" t="str">
        <x:v>2021-05</x:v>
      </x:c>
      <x:c r="I29" s="487" t="n"/>
      <x:c r="J29" s="487" t="n"/>
      <x:c r="K29" s="487" t="n"/>
      <x:c r="L29" s="487" t="n"/>
      <x:c r="M29" s="487" t="n"/>
      <x:c r="N29" s="487" t="n"/>
      <x:c r="O29" s="487" t="n"/>
      <x:c r="P29" s="407" t="n"/>
      <x:c r="Q29" s="407" t="n"/>
      <x:c r="R29" s="407" t="n"/>
      <x:c r="S29" s="407" t="n"/>
      <x:c r="T29" s="407" t="n"/>
      <x:c r="U29" s="407" t="n"/>
      <x:c r="V29" s="407" t="n"/>
      <x:c r="W29" s="407" t="n"/>
    </x:row>
    <x:row r="30" s="204" customFormat="1" ht="26" customHeight="1">
      <x:c r="A30" s="508" t="n">
        <x:v>44348</x:v>
      </x:c>
      <x:c r="B30" s="509" t="n">
        <x:v>226012</x:v>
      </x:c>
      <x:c r="C30" s="510" t="n">
        <x:f>IF(OR(B30="",B18=""),"",B30/B18-1)</x:f>
        <x:v>0.11935892864218078</x:v>
      </x:c>
      <x:c r="D30" s="511" t="n">
        <x:v>14899.5</x:v>
      </x:c>
      <x:c r="E30" s="510" t="n">
        <x:f>IF(OR(D30="",D18=""),"",D30/D18-1)</x:f>
        <x:v>0.10556660334797585</x:v>
      </x:c>
      <x:c r="F30" s="511" t="n">
        <x:v>9600.799999999999</x:v>
      </x:c>
      <x:c r="G30" s="510" t="n">
        <x:f>IF(OR(F30="",F18=""),"",F30/F18-1)</x:f>
        <x:v>0.1062613785633626</x:v>
      </x:c>
      <x:c r="H30" s="815" t="str">
        <x:v>2021-06</x:v>
      </x:c>
      <x:c r="I30" s="487" t="n"/>
      <x:c r="J30" s="487" t="n"/>
      <x:c r="K30" s="487" t="n"/>
      <x:c r="L30" s="487" t="n"/>
      <x:c r="M30" s="487" t="n"/>
      <x:c r="N30" s="487" t="n"/>
      <x:c r="O30" s="487" t="n"/>
      <x:c r="Q30" s="407" t="n"/>
      <x:c r="R30" s="407" t="n"/>
      <x:c r="S30" s="407" t="n"/>
      <x:c r="T30" s="407" t="n"/>
      <x:c r="U30" s="407" t="n"/>
      <x:c r="V30" s="407" t="n"/>
      <x:c r="W30" s="407" t="n"/>
    </x:row>
    <x:row r="31" s="204" customFormat="1" ht="19" customHeight="1">
      <x:c r="A31" s="502" t="n">
        <x:v>44378</x:v>
      </x:c>
      <x:c r="B31" s="503" t="n">
        <x:v>221408</x:v>
      </x:c>
      <x:c r="C31" s="504" t="n">
        <x:f>IF(OR(B31="",B19=""),"",B31/B19-1)</x:f>
        <x:v>0.08554086320424004</x:v>
      </x:c>
      <x:c r="D31" s="505" t="n">
        <x:v>14878.5</x:v>
      </x:c>
      <x:c r="E31" s="504" t="n">
        <x:f>IF(OR(D31="",D19=""),"",D31/D19-1)</x:f>
        <x:v>0.08733145759491356</x:v>
      </x:c>
      <x:c r="F31" s="505" t="n">
        <x:v>9690.1</x:v>
      </x:c>
      <x:c r="G31" s="504" t="n">
        <x:f>IF(OR(F31="",F19=""),"",F31/F19-1)</x:f>
        <x:v>0.10111018942536054</x:v>
      </x:c>
      <x:c r="H31" s="815" t="str">
        <x:v>2021-07</x:v>
      </x:c>
      <x:c r="I31" s="487" t="n"/>
      <x:c r="J31" s="487" t="n"/>
      <x:c r="K31" s="487" t="n"/>
      <x:c r="L31" s="487" t="n"/>
      <x:c r="M31" s="487" t="n"/>
      <x:c r="N31" s="487" t="n"/>
      <x:c r="O31" s="487" t="n"/>
      <x:c r="P31" s="407" t="n"/>
      <x:c r="Q31" s="407" t="n"/>
      <x:c r="R31" s="407" t="n"/>
      <x:c r="S31" s="407" t="n"/>
      <x:c r="T31" s="407" t="n"/>
      <x:c r="U31" s="407" t="n"/>
      <x:c r="V31" s="407" t="n"/>
      <x:c r="W31" s="407" t="n"/>
    </x:row>
    <x:row r="32" s="204" customFormat="1" ht="19" customHeight="1">
      <x:c r="A32" s="508" t="n">
        <x:v>44409</x:v>
      </x:c>
      <x:c r="B32" s="509" t="n">
        <x:v>222029</x:v>
      </x:c>
      <x:c r="C32" s="510" t="n">
        <x:f>IF(OR(B32="",B20=""),"",B32/B20-1)</x:f>
        <x:v>0.08424774266641277</x:v>
      </x:c>
      <x:c r="D32" s="511" t="n">
        <x:v>14972.2</x:v>
      </x:c>
      <x:c r="E32" s="510" t="n">
        <x:f>IF(OR(D32="",D20=""),"",D32/D20-1)</x:f>
        <x:v>0.08549264119480893</x:v>
      </x:c>
      <x:c r="F32" s="511" t="n">
        <x:v>9749.9</x:v>
      </x:c>
      <x:c r="G32" s="510" t="n">
        <x:f>IF(OR(F32="",F20=""),"",F32/F20-1)</x:f>
        <x:v>0.09365114974761624</x:v>
      </x:c>
      <x:c r="H32" s="815" t="str">
        <x:v>2021-08</x:v>
      </x:c>
      <x:c r="I32" s="487" t="n"/>
      <x:c r="J32" s="487" t="n"/>
      <x:c r="K32" s="487" t="n"/>
      <x:c r="L32" s="487" t="n"/>
      <x:c r="M32" s="487" t="n"/>
      <x:c r="N32" s="487" t="n"/>
      <x:c r="O32" s="487" t="n"/>
      <x:c r="P32" s="407" t="n"/>
      <x:c r="Q32" s="407" t="n"/>
      <x:c r="R32" s="407" t="n"/>
      <x:c r="S32" s="407" t="n"/>
      <x:c r="T32" s="407" t="n"/>
      <x:c r="U32" s="407" t="n"/>
      <x:c r="V32" s="407" t="n"/>
      <x:c r="W32" s="407" t="n"/>
    </x:row>
    <x:row r="33" s="204" customFormat="1" ht="19" customHeight="1">
      <x:c r="A33" s="502" t="n">
        <x:v>44440</x:v>
      </x:c>
      <x:c r="B33" s="503" t="n">
        <x:v>222760</x:v>
      </x:c>
      <x:c r="C33" s="504" t="n">
        <x:f>IF(OR(B33="",B21=""),"",B33/B21-1)</x:f>
        <x:v>0.07007666737121232</x:v>
      </x:c>
      <x:c r="D33" s="505" t="n">
        <x:v>15002.1</x:v>
      </x:c>
      <x:c r="E33" s="504" t="n">
        <x:f>IF(OR(D33="",D21=""),"",D33/D21-1)</x:f>
        <x:v>0.07429500307921466</x:v>
      </x:c>
      <x:c r="F33" s="505" t="n">
        <x:v>9786</x:v>
      </x:c>
      <x:c r="G33" s="504" t="n">
        <x:f>IF(OR(F33="",F21=""),"",F33/F21-1)</x:f>
        <x:v>0.08454965588323304</x:v>
      </x:c>
      <x:c r="H33" s="816" t="str">
        <x:v>2021-09</x:v>
      </x:c>
      <x:c r="I33" s="501" t="n"/>
      <x:c r="J33" s="501" t="n"/>
      <x:c r="K33" s="501" t="n"/>
      <x:c r="L33" s="501" t="n"/>
      <x:c r="M33" s="501" t="n"/>
      <x:c r="N33" s="487" t="n"/>
      <x:c r="O33" s="487" t="n"/>
      <x:c r="P33" s="407" t="n"/>
      <x:c r="Q33" s="407" t="n"/>
      <x:c r="R33" s="407" t="n"/>
      <x:c r="S33" s="407" t="n"/>
      <x:c r="T33" s="407" t="n"/>
      <x:c r="U33" s="407" t="n"/>
      <x:c r="V33" s="407" t="n"/>
      <x:c r="W33" s="407" t="n"/>
    </x:row>
    <x:row r="34" s="204" customFormat="1" ht="19" customHeight="1">
      <x:c r="A34" s="508" t="n">
        <x:v>44470</x:v>
      </x:c>
      <x:c r="B34" s="509" t="n">
        <x:v>223836</x:v>
      </x:c>
      <x:c r="C34" s="510" t="n">
        <x:f>IF(OR(B34="",B22=""),"",B34/B22-1)</x:f>
        <x:v>0.08011233677871399</x:v>
      </x:c>
      <x:c r="D34" s="511" t="n">
        <x:v>15094.3</x:v>
      </x:c>
      <x:c r="E34" s="510" t="n">
        <x:f>IF(OR(D34="",D22=""),"",D34/D22-1)</x:f>
        <x:v>0.07761777955465443</x:v>
      </x:c>
      <x:c r="F34" s="511" t="n">
        <x:v>9817.9</x:v>
      </x:c>
      <x:c r="G34" s="510" t="n">
        <x:f>IF(OR(F34="",F22=""),"",F34/F22-1)</x:f>
        <x:v>0.081504736726151</x:v>
      </x:c>
      <x:c r="H34" s="816" t="str">
        <x:v>2021-10</x:v>
      </x:c>
      <x:c r="I34" s="501" t="n"/>
      <x:c r="J34" s="501" t="n"/>
      <x:c r="K34" s="501" t="n"/>
      <x:c r="L34" s="501" t="n"/>
      <x:c r="M34" s="501" t="n"/>
      <x:c r="N34" s="487" t="n"/>
      <x:c r="O34" s="487" t="n"/>
      <x:c r="P34" s="407" t="n"/>
      <x:c r="Q34" s="407" t="n"/>
      <x:c r="R34" s="407" t="n"/>
      <x:c r="S34" s="407" t="n"/>
      <x:c r="T34" s="407" t="n"/>
      <x:c r="U34" s="407" t="n"/>
      <x:c r="V34" s="407" t="n"/>
      <x:c r="W34" s="407" t="n"/>
    </x:row>
    <x:row r="35" s="204" customFormat="1" ht="19" customHeight="1">
      <x:c r="A35" s="502" t="n">
        <x:v>44501</x:v>
      </x:c>
      <x:c r="B35" s="503" t="n">
        <x:v>224431</x:v>
      </x:c>
      <x:c r="C35" s="504" t="n">
        <x:f>IF(OR(B35="",B23=""),"",B35/B23-1)</x:f>
        <x:v>0.09545867215947368</x:v>
      </x:c>
      <x:c r="D35" s="505" t="n">
        <x:v>15118</x:v>
      </x:c>
      <x:c r="E35" s="504" t="n">
        <x:f>IF(OR(D35="",D23=""),"",D35/D23-1)</x:f>
        <x:v>0.08215285283780593</x:v>
      </x:c>
      <x:c r="F35" s="505" t="n">
        <x:v>9840.799999999999</x:v>
      </x:c>
      <x:c r="G35" s="504" t="n">
        <x:f>IF(OR(F35="",F23=""),"",F35/F23-1)</x:f>
        <x:v>0.08590534411793915</x:v>
      </x:c>
      <x:c r="H35" s="816" t="str">
        <x:v>2021-11</x:v>
      </x:c>
      <x:c r="I35" s="501" t="n"/>
      <x:c r="J35" s="501" t="n"/>
      <x:c r="K35" s="501" t="n"/>
      <x:c r="L35" s="501" t="n"/>
      <x:c r="M35" s="501" t="n"/>
      <x:c r="N35" s="487" t="n"/>
      <x:c r="O35" s="487" t="n"/>
      <x:c r="P35" s="407" t="n"/>
      <x:c r="Q35" s="407" t="n"/>
      <x:c r="R35" s="407" t="n"/>
      <x:c r="S35" s="407" t="n"/>
      <x:c r="T35" s="407" t="n"/>
      <x:c r="U35" s="407" t="n"/>
      <x:c r="V35" s="407" t="n"/>
      <x:c r="W35" s="407" t="n"/>
    </x:row>
    <x:row r="36" s="204" customFormat="1" ht="19" customHeight="1">
      <x:c r="A36" s="508" t="n">
        <x:v>44531</x:v>
      </x:c>
      <x:c r="B36" s="509" t="n">
        <x:v>221380</x:v>
      </x:c>
      <x:c r="C36" s="510" t="n">
        <x:f>IF(OR(B36="",B24=""),"",B36/B24-1)</x:f>
        <x:v>0.07543805956735694</x:v>
      </x:c>
      <x:c r="D36" s="511" t="n">
        <x:v>15062.3</x:v>
      </x:c>
      <x:c r="E36" s="510" t="n">
        <x:f>IF(OR(D36="",D24=""),"",D36/D24-1)</x:f>
        <x:v>0.0738306230260859</x:v>
      </x:c>
      <x:c r="F36" s="511" t="n">
        <x:v>9839.299999999999</x:v>
      </x:c>
      <x:c r="G36" s="510" t="n">
        <x:f>IF(OR(F36="",F24=""),"",F36/F24-1)</x:f>
        <x:v>0.08426817710973467</x:v>
      </x:c>
      <x:c r="H36" s="816" t="str">
        <x:v>2021-12</x:v>
      </x:c>
      <x:c r="I36" s="501" t="n"/>
      <x:c r="J36" s="501" t="n"/>
      <x:c r="K36" s="501" t="n"/>
      <x:c r="L36" s="501" t="n"/>
      <x:c r="M36" s="501" t="n"/>
      <x:c r="N36" s="487" t="n"/>
      <x:c r="O36" s="487" t="n"/>
      <x:c r="P36" s="407" t="n"/>
      <x:c r="Q36" s="407" t="n"/>
      <x:c r="R36" s="407" t="n"/>
      <x:c r="S36" s="407" t="n"/>
      <x:c r="T36" s="407" t="n"/>
      <x:c r="U36" s="407" t="n"/>
      <x:c r="V36" s="407" t="n"/>
      <x:c r="W36" s="407" t="n"/>
    </x:row>
    <x:row r="37" s="204" customFormat="1" ht="19" customHeight="1">
      <x:c r="A37" s="502" t="n">
        <x:v>44562</x:v>
      </x:c>
      <x:c r="B37" s="503" t="n">
        <x:v>224433</x:v>
      </x:c>
      <x:c r="C37" s="504" t="n">
        <x:f>IF(OR(B37="",B25=""),"",B37/B25-1)</x:f>
        <x:v>0.05327551494502081</x:v>
      </x:c>
      <x:c r="D37" s="505" t="n">
        <x:v>15085.8</x:v>
      </x:c>
      <x:c r="E37" s="504" t="n">
        <x:f>IF(OR(D37="",D25=""),"",D37/D25-1)</x:f>
        <x:v>0.06124430187405028</x:v>
      </x:c>
      <x:c r="F37" s="505" t="n">
        <x:v>9830.200000000001</x:v>
      </x:c>
      <x:c r="G37" s="504" t="n">
        <x:f>IF(OR(F37="",F25=""),"",F37/F25-1)</x:f>
        <x:v>0.07431531551222914</x:v>
      </x:c>
      <x:c r="H37" s="816" t="str">
        <x:v>2022-01</x:v>
      </x:c>
      <x:c r="I37" s="501" t="n"/>
      <x:c r="J37" s="501" t="n"/>
      <x:c r="K37" s="501" t="n"/>
      <x:c r="L37" s="501" t="n"/>
      <x:c r="M37" s="501" t="n"/>
      <x:c r="N37" s="487" t="n"/>
      <x:c r="O37" s="487" t="n"/>
      <x:c r="P37" s="407" t="n"/>
      <x:c r="Q37" s="407" t="n"/>
      <x:c r="R37" s="407" t="n"/>
      <x:c r="S37" s="407" t="n"/>
      <x:c r="T37" s="407" t="n"/>
      <x:c r="U37" s="407" t="n"/>
      <x:c r="V37" s="407" t="n"/>
      <x:c r="W37" s="407" t="n"/>
    </x:row>
    <x:row r="38" s="204" customFormat="1" ht="19" customHeight="1">
      <x:c r="A38" s="508" t="n">
        <x:v>44593</x:v>
      </x:c>
      <x:c r="B38" s="509" t="n">
        <x:v>225243</x:v>
      </x:c>
      <x:c r="C38" s="510" t="n">
        <x:f>IF(OR(B38="",B26=""),"",B38/B26-1)</x:f>
        <x:v>0.08851430697782314</x:v>
      </x:c>
      <x:c r="D38" s="511" t="n">
        <x:v>15079.5</x:v>
      </x:c>
      <x:c r="E38" s="510" t="n">
        <x:f>IF(OR(D38="",D26=""),"",D38/D26-1)</x:f>
        <x:v>0.07151231782620737</x:v>
      </x:c>
      <x:c r="F38" s="511" t="n">
        <x:v>9882.4</x:v>
      </x:c>
      <x:c r="G38" s="510" t="n">
        <x:f>IF(OR(F38="",F26=""),"",F38/F26-1)</x:f>
        <x:v>0.08217257993867721</x:v>
      </x:c>
      <x:c r="H38" s="816" t="str">
        <x:v>2022-02</x:v>
      </x:c>
      <x:c r="I38" s="501" t="n"/>
      <x:c r="J38" s="501" t="n"/>
      <x:c r="K38" s="501" t="n"/>
      <x:c r="L38" s="501" t="n"/>
      <x:c r="M38" s="501" t="n"/>
      <x:c r="N38" s="487" t="n"/>
      <x:c r="O38" s="487" t="n"/>
      <x:c r="P38" s="407" t="n"/>
      <x:c r="Q38" s="407" t="n"/>
      <x:c r="R38" s="407" t="n"/>
      <x:c r="S38" s="407" t="n"/>
      <x:c r="T38" s="407" t="n"/>
      <x:c r="U38" s="407" t="n"/>
      <x:c r="V38" s="407" t="n"/>
      <x:c r="W38" s="407" t="n"/>
    </x:row>
    <x:row r="39" s="204" customFormat="1" ht="19" customHeight="1">
      <x:c r="A39" s="502" t="n">
        <x:v>44621</x:v>
      </x:c>
      <x:c r="B39" s="503" t="n">
        <x:v>226879</x:v>
      </x:c>
      <x:c r="C39" s="504" t="n">
        <x:f>IF(OR(B39="",B27=""),"",B39/B27-1)</x:f>
        <x:v>-0.004043020193151836</x:v>
      </x:c>
      <x:c r="D39" s="505" t="n">
        <x:v>15152.9</x:v>
      </x:c>
      <x:c r="E39" s="504" t="n">
        <x:f>IF(OR(D39="",D27=""),"",D39/D27-1)</x:f>
        <x:v>0.03205922818106277</x:v>
      </x:c>
      <x:c r="F39" s="505" t="n">
        <x:v>9931.1</x:v>
      </x:c>
      <x:c r="G39" s="504" t="n">
        <x:f>IF(OR(F39="",F27=""),"",F39/F27-1)</x:f>
        <x:v>0.06644974925636005</x:v>
      </x:c>
      <x:c r="H39" s="816" t="str">
        <x:v>2022-03</x:v>
      </x:c>
      <x:c r="I39" s="501" t="n"/>
      <x:c r="J39" s="501" t="n"/>
      <x:c r="K39" s="501" t="n"/>
      <x:c r="L39" s="501" t="n"/>
      <x:c r="M39" s="501" t="n"/>
      <x:c r="N39" s="487" t="n"/>
      <x:c r="O39" s="487" t="n"/>
      <x:c r="P39" s="407" t="n"/>
      <x:c r="Q39" s="407" t="n"/>
      <x:c r="R39" s="407" t="n"/>
      <x:c r="S39" s="407" t="n"/>
      <x:c r="T39" s="407" t="n"/>
      <x:c r="U39" s="407" t="n"/>
      <x:c r="V39" s="407" t="n"/>
      <x:c r="W39" s="407" t="n"/>
    </x:row>
    <x:row r="40" s="204" customFormat="1" ht="19" customHeight="1">
      <x:c r="A40" s="508" t="n">
        <x:v>44652</x:v>
      </x:c>
      <x:c r="B40" s="509" t="n">
        <x:v>229244</x:v>
      </x:c>
      <x:c r="C40" s="510" t="n">
        <x:f>IF(OR(B40="",B28=""),"",B40/B28-1)</x:f>
        <x:v>0.003198942729735199</x:v>
      </x:c>
      <x:c r="D40" s="511" t="n">
        <x:v>15244.4</x:v>
      </x:c>
      <x:c r="E40" s="510" t="n">
        <x:f>IF(OR(D40="",D28=""),"",D40/D28-1)</x:f>
        <x:v>0.029915684790833286</x:v>
      </x:c>
      <x:c r="F40" s="511" t="n">
        <x:v>9988.4</x:v>
      </x:c>
      <x:c r="G40" s="510" t="n">
        <x:f>IF(OR(F40="",F28=""),"",F40/F28-1)</x:f>
        <x:v>0.06041850243648672</x:v>
      </x:c>
      <x:c r="H40" s="816" t="str">
        <x:v>2022-04</x:v>
      </x:c>
      <x:c r="I40" s="501" t="n"/>
      <x:c r="J40" s="501" t="n"/>
      <x:c r="K40" s="501" t="n"/>
      <x:c r="L40" s="501" t="n"/>
      <x:c r="M40" s="501" t="n"/>
      <x:c r="N40" s="487" t="n"/>
      <x:c r="O40" s="487" t="n"/>
      <x:c r="P40" s="407" t="n"/>
      <x:c r="Q40" s="407" t="n"/>
      <x:c r="R40" s="407" t="n"/>
      <x:c r="S40" s="407" t="n"/>
      <x:c r="T40" s="407" t="n"/>
      <x:c r="U40" s="407" t="n"/>
      <x:c r="V40" s="407" t="n"/>
      <x:c r="W40" s="407" t="n"/>
    </x:row>
    <x:row r="41" s="204" customFormat="1" ht="19" customHeight="1">
      <x:c r="A41" s="502" t="n">
        <x:v>44682</x:v>
      </x:c>
      <x:c r="B41" s="503" t="n">
        <x:v>227027</x:v>
      </x:c>
      <x:c r="C41" s="504" t="n">
        <x:f>IF(OR(B41="",B29=""),"",B41/B29-1)</x:f>
        <x:v>0.006129123752459664</x:v>
      </x:c>
      <x:c r="D41" s="505" t="n">
        <x:v>15225.4</x:v>
      </x:c>
      <x:c r="E41" s="504" t="n">
        <x:f>IF(OR(D41="",D29=""),"",D41/D29-1)</x:f>
        <x:v>0.029982005384854737</x:v>
      </x:c>
      <x:c r="F41" s="505" t="n">
        <x:v>10016.9</x:v>
      </x:c>
      <x:c r="G41" s="504" t="n">
        <x:f>IF(OR(F41="",F29=""),"",F41/F29-1)</x:f>
        <x:v>0.05395566124093798</x:v>
      </x:c>
      <x:c r="H41" s="816" t="str">
        <x:v>2022-05</x:v>
      </x:c>
      <x:c r="I41" s="501" t="n"/>
      <x:c r="J41" s="501" t="n"/>
      <x:c r="K41" s="501" t="n"/>
      <x:c r="L41" s="501" t="n"/>
      <x:c r="M41" s="501" t="n"/>
      <x:c r="N41" s="487" t="n"/>
      <x:c r="O41" s="487" t="n"/>
      <x:c r="P41" s="407" t="n"/>
      <x:c r="Q41" s="407" t="n"/>
      <x:c r="R41" s="407" t="n"/>
      <x:c r="S41" s="407" t="n"/>
      <x:c r="T41" s="407" t="n"/>
      <x:c r="U41" s="407" t="n"/>
      <x:c r="V41" s="407" t="n"/>
      <x:c r="W41" s="407" t="n"/>
    </x:row>
    <x:row r="42" s="204" customFormat="1" ht="19" customHeight="1">
      <x:c r="A42" s="508" t="n">
        <x:v>44713</x:v>
      </x:c>
      <x:c r="B42" s="509" t="n">
        <x:v>226468</x:v>
      </x:c>
      <x:c r="C42" s="510" t="n">
        <x:f>IF(OR(B42="",B30=""),"",B42/B30-1)</x:f>
        <x:v>0.002017591986266165</x:v>
      </x:c>
      <x:c r="D42" s="511" t="n">
        <x:v>15222.2</x:v>
      </x:c>
      <x:c r="E42" s="510" t="n">
        <x:f>IF(OR(D42="",D30=""),"",D42/D30-1)</x:f>
        <x:v>0.021658444914258945</x:v>
      </x:c>
      <x:c r="F42" s="511" t="n">
        <x:v>10025.6</x:v>
      </x:c>
      <x:c r="G42" s="510" t="n">
        <x:f>IF(OR(F42="",F30=""),"",F42/F30-1)</x:f>
        <x:v>0.0442463128072661</x:v>
      </x:c>
      <x:c r="H42" s="816" t="str">
        <x:v>2022-06</x:v>
      </x:c>
      <x:c r="I42" s="501" t="n"/>
      <x:c r="J42" s="501" t="n"/>
      <x:c r="K42" s="501" t="n"/>
      <x:c r="L42" s="501" t="n"/>
      <x:c r="M42" s="501" t="n"/>
      <x:c r="N42" s="487" t="n"/>
      <x:c r="O42" s="487" t="n"/>
      <x:c r="P42" s="407" t="n"/>
      <x:c r="Q42" s="407" t="n"/>
      <x:c r="R42" s="407" t="n"/>
      <x:c r="S42" s="407" t="n"/>
      <x:c r="T42" s="407" t="n"/>
      <x:c r="U42" s="407" t="n"/>
      <x:c r="V42" s="407" t="n"/>
      <x:c r="W42" s="407" t="n"/>
    </x:row>
    <x:row r="43" s="204" customFormat="1" ht="19" customHeight="1">
      <x:c r="A43" s="502" t="n">
        <x:v>44743</x:v>
      </x:c>
      <x:c r="B43" s="503" t="n">
        <x:v>223710</x:v>
      </x:c>
      <x:c r="C43" s="504" t="n">
        <x:f>IF(OR(B43="",B31=""),"",B43/B31-1)</x:f>
        <x:v>0.010397094955918451</x:v>
      </x:c>
      <x:c r="D43" s="505" t="n">
        <x:v>15217.9</x:v>
      </x:c>
      <x:c r="E43" s="504" t="n">
        <x:f>IF(OR(D43="",D31=""),"",D43/D31-1)</x:f>
        <x:v>0.0228114393252008</x:v>
      </x:c>
      <x:c r="F43" s="505" t="n">
        <x:v>10053.7</x:v>
      </x:c>
      <x:c r="G43" s="504" t="n">
        <x:f>IF(OR(F43="",F31=""),"",F43/F31-1)</x:f>
        <x:v>0.03752283258170719</x:v>
      </x:c>
      <x:c r="H43" s="816" t="str">
        <x:v>2022-07</x:v>
      </x:c>
      <x:c r="I43" s="501" t="n"/>
      <x:c r="J43" s="501" t="n"/>
      <x:c r="K43" s="501" t="n"/>
      <x:c r="L43" s="501" t="n"/>
      <x:c r="M43" s="501" t="n"/>
      <x:c r="N43" s="487" t="n"/>
      <x:c r="O43" s="487" t="n"/>
      <x:c r="P43" s="407" t="n"/>
      <x:c r="Q43" s="407" t="n"/>
      <x:c r="R43" s="407" t="n"/>
      <x:c r="S43" s="407" t="n"/>
      <x:c r="T43" s="407" t="n"/>
      <x:c r="U43" s="407" t="n"/>
      <x:c r="V43" s="407" t="n"/>
      <x:c r="W43" s="407" t="n"/>
    </x:row>
    <x:row r="44" s="204" customFormat="1" ht="19" customHeight="1">
      <x:c r="A44" s="508" t="n">
        <x:v>44774</x:v>
      </x:c>
      <x:c r="B44" s="509" t="n">
        <x:v>224672</x:v>
      </x:c>
      <x:c r="C44" s="510" t="n">
        <x:f>IF(OR(B44="",B32=""),"",B44/B32-1)</x:f>
        <x:v>0.011903850397920968</x:v>
      </x:c>
      <x:c r="D44" s="511" t="n">
        <x:v>15290.7</x:v>
      </x:c>
      <x:c r="E44" s="510" t="n">
        <x:f>IF(OR(D44="",D32=""),"",D44/D32-1)</x:f>
        <x:v>0.021272758846395234</x:v>
      </x:c>
      <x:c r="F44" s="511" t="n">
        <x:v>10088</x:v>
      </x:c>
      <x:c r="G44" s="510" t="n">
        <x:f>IF(OR(F44="",F32=""),"",F44/F32-1)</x:f>
        <x:v>0.03467727874132054</x:v>
      </x:c>
      <x:c r="H44" s="816" t="str">
        <x:v>2022-08</x:v>
      </x:c>
      <x:c r="I44" s="501" t="n"/>
      <x:c r="J44" s="501" t="n"/>
      <x:c r="K44" s="501" t="n"/>
      <x:c r="L44" s="501" t="n"/>
      <x:c r="M44" s="501" t="n"/>
      <x:c r="N44" s="487" t="n"/>
      <x:c r="O44" s="487" t="n"/>
      <x:c r="P44" s="407" t="n"/>
      <x:c r="Q44" s="407" t="n"/>
      <x:c r="R44" s="407" t="n"/>
      <x:c r="S44" s="407" t="n"/>
      <x:c r="T44" s="407" t="n"/>
      <x:c r="U44" s="407" t="n"/>
      <x:c r="V44" s="407" t="n"/>
      <x:c r="W44" s="407" t="n"/>
    </x:row>
    <x:row r="45" s="204" customFormat="1" ht="19" customHeight="1">
      <x:c r="A45" s="502" t="n">
        <x:v>44805</x:v>
      </x:c>
      <x:c r="B45" s="503" t="n">
        <x:v>223072</x:v>
      </x:c>
      <x:c r="C45" s="504" t="n">
        <x:f>IF(OR(B45="",B33=""),"",B45/B33-1)</x:f>
        <x:v>0.0014006105225354837</x:v>
      </x:c>
      <x:c r="D45" s="505" t="n">
        <x:v>15313.2</x:v>
      </x:c>
      <x:c r="E45" s="504" t="n">
        <x:f>IF(OR(D45="",D33=""),"",D45/D33-1)</x:f>
        <x:v>0.020737096806447086</x:v>
      </x:c>
      <x:c r="F45" s="505" t="n">
        <x:v>10112.2</x:v>
      </x:c>
      <x:c r="G45" s="504" t="n">
        <x:f>IF(OR(F45="",F33=""),"",F45/F33-1)</x:f>
        <x:v>0.03333333333333344</x:v>
      </x:c>
      <x:c r="H45" s="815" t="str">
        <x:v>2022-09</x:v>
      </x:c>
      <x:c r="I45" s="487" t="n"/>
      <x:c r="J45" s="487" t="n"/>
      <x:c r="K45" s="487" t="n"/>
      <x:c r="L45" s="487" t="n"/>
      <x:c r="M45" s="487" t="n"/>
      <x:c r="N45" s="487" t="n"/>
      <x:c r="O45" s="487" t="n"/>
      <x:c r="P45" s="407" t="n"/>
      <x:c r="Q45" s="407" t="n"/>
      <x:c r="R45" s="407" t="n"/>
      <x:c r="S45" s="407" t="n"/>
      <x:c r="T45" s="407" t="n"/>
      <x:c r="U45" s="407" t="n"/>
      <x:c r="V45" s="407" t="n"/>
      <x:c r="W45" s="407" t="n"/>
    </x:row>
    <x:row r="46" s="204" customFormat="1" ht="19" customHeight="1">
      <x:c r="A46" s="508" t="n">
        <x:v>44835</x:v>
      </x:c>
      <x:c r="B46" s="509" t="n">
        <x:v>223795</x:v>
      </x:c>
      <x:c r="C46" s="510" t="n">
        <x:f>IF(OR(B46="",B34=""),"",B46/B34-1)</x:f>
        <x:v>-0.00018316982076160837</x:v>
      </x:c>
      <x:c r="D46" s="511" t="n">
        <x:v>15341.8</x:v>
      </x:c>
      <x:c r="E46" s="510" t="n">
        <x:f>IF(OR(D46="",D34=""),"",D46/D34-1)</x:f>
        <x:v>0.016396918041909903</x:v>
      </x:c>
      <x:c r="F46" s="511" t="n">
        <x:v>10124.7</x:v>
      </x:c>
      <x:c r="G46" s="510" t="n">
        <x:f>IF(OR(F46="",F34=""),"",F46/F34-1)</x:f>
        <x:v>0.03124904511148019</x:v>
      </x:c>
      <x:c r="H46" s="815" t="str">
        <x:v>2022-10</x:v>
      </x:c>
      <x:c r="I46" s="487" t="n"/>
      <x:c r="J46" s="487" t="n"/>
      <x:c r="K46" s="487" t="n"/>
      <x:c r="L46" s="487" t="n"/>
      <x:c r="M46" s="487" t="n"/>
      <x:c r="N46" s="487" t="n"/>
      <x:c r="O46" s="487" t="n"/>
      <x:c r="P46" s="407" t="n"/>
      <x:c r="Q46" s="407" t="n"/>
      <x:c r="R46" s="407" t="n"/>
      <x:c r="S46" s="407" t="n"/>
      <x:c r="T46" s="407" t="n"/>
      <x:c r="U46" s="407" t="n"/>
      <x:c r="V46" s="407" t="n"/>
      <x:c r="W46" s="407" t="n"/>
    </x:row>
    <x:row r="47" s="204" customFormat="1" ht="19" customHeight="1">
      <x:c r="A47" s="502" t="n">
        <x:v>44866</x:v>
      </x:c>
      <x:c r="B47" s="503" t="n">
        <x:v>219692</x:v>
      </x:c>
      <x:c r="C47" s="504" t="n">
        <x:f>IF(OR(B47="",B35=""),"",B47/B35-1)</x:f>
        <x:v>-0.021115621282264962</x:v>
      </x:c>
      <x:c r="D47" s="505" t="n">
        <x:v>15289.6</x:v>
      </x:c>
      <x:c r="E47" s="504" t="n">
        <x:f>IF(OR(D47="",D35=""),"",D47/D35-1)</x:f>
        <x:v>0.01135070776557745</x:v>
      </x:c>
      <x:c r="F47" s="505" t="n">
        <x:v>10142</x:v>
      </x:c>
      <x:c r="G47" s="504" t="n">
        <x:f>IF(OR(F47="",F35=""),"",F47/F35-1)</x:f>
        <x:v>0.03060726770181299</x:v>
      </x:c>
      <x:c r="H47" s="815" t="str">
        <x:v>2022-11</x:v>
      </x:c>
      <x:c r="I47" s="487" t="n"/>
      <x:c r="J47" s="487" t="n"/>
      <x:c r="K47" s="487" t="n"/>
      <x:c r="L47" s="487" t="n"/>
      <x:c r="M47" s="487" t="n"/>
      <x:c r="N47" s="487" t="n"/>
      <x:c r="O47" s="487" t="n"/>
      <x:c r="P47" s="407" t="n"/>
      <x:c r="Q47" s="407" t="n"/>
      <x:c r="R47" s="407" t="n"/>
      <x:c r="S47" s="407" t="n"/>
      <x:c r="T47" s="407" t="n"/>
      <x:c r="U47" s="407" t="n"/>
      <x:c r="V47" s="407" t="n"/>
      <x:c r="W47" s="407" t="n"/>
    </x:row>
    <x:row r="48" s="204" customFormat="1" ht="19" customHeight="1">
      <x:c r="A48" s="508" t="n">
        <x:v>44896</x:v>
      </x:c>
      <x:c r="B48" s="509" t="n">
        <x:v>216946</x:v>
      </x:c>
      <x:c r="C48" s="510" t="n">
        <x:f>IF(OR(B48="",B36=""),"",B48/B36-1)</x:f>
        <x:v>-0.02002890956725989</x:v>
      </x:c>
      <x:c r="D48" s="511" t="n">
        <x:v>15278.5</x:v>
      </x:c>
      <x:c r="E48" s="510" t="n">
        <x:f>IF(OR(D48="",D36=""),"",D48/D36-1)</x:f>
        <x:v>0.014353717559735246</x:v>
      </x:c>
      <x:c r="F48" s="511" t="n">
        <x:v>10153.7</x:v>
      </x:c>
      <x:c r="G48" s="510" t="n">
        <x:f>IF(OR(F48="",F36=""),"",F48/F36-1)</x:f>
        <x:v>0.03195349262650815</x:v>
      </x:c>
      <x:c r="H48" s="815" t="str">
        <x:v>2022-12</x:v>
      </x:c>
      <x:c r="I48" s="487" t="n"/>
      <x:c r="J48" s="487" t="n"/>
      <x:c r="K48" s="487" t="n"/>
      <x:c r="L48" s="487" t="n"/>
      <x:c r="M48" s="487" t="n"/>
      <x:c r="N48" s="487" t="n"/>
      <x:c r="O48" s="487" t="n"/>
      <x:c r="P48" s="407" t="n"/>
      <x:c r="Q48" s="407" t="n"/>
      <x:c r="R48" s="407" t="n"/>
      <x:c r="S48" s="407" t="n"/>
      <x:c r="T48" s="407" t="n"/>
      <x:c r="U48" s="407" t="n"/>
      <x:c r="V48" s="407" t="n"/>
      <x:c r="W48" s="407" t="n"/>
    </x:row>
    <x:row r="49" s="204" customFormat="1" ht="19" customHeight="1">
      <x:c r="A49" s="502" t="n">
        <x:v>44927</x:v>
      </x:c>
      <x:c r="B49" s="503" t="n">
        <x:v>224568</x:v>
      </x:c>
      <x:c r="C49" s="504" t="n">
        <x:f>IF(OR(B49="",B37=""),"",B49/B37-1)</x:f>
        <x:v>0.0006015158198660053</x:v>
      </x:c>
      <x:c r="D49" s="505" t="n">
        <x:v>15483.1</x:v>
      </x:c>
      <x:c r="E49" s="504" t="n">
        <x:f>IF(OR(D49="",D37=""),"",D49/D37-1)</x:f>
        <x:v>0.02633602460592077</x:v>
      </x:c>
      <x:c r="F49" s="505" t="n">
        <x:v>10202</x:v>
      </x:c>
      <x:c r="G49" s="504" t="n">
        <x:f>IF(OR(F49="",F37=""),"",F49/F37-1)</x:f>
        <x:v>0.0378222213179793</x:v>
      </x:c>
      <x:c r="H49" s="815" t="str">
        <x:v>2023-01</x:v>
      </x:c>
      <x:c r="I49" s="487" t="n"/>
      <x:c r="J49" s="487" t="n"/>
      <x:c r="K49" s="487" t="n"/>
      <x:c r="L49" s="487" t="n"/>
      <x:c r="M49" s="487" t="n"/>
      <x:c r="N49" s="487" t="n"/>
      <x:c r="O49" s="487" t="n"/>
      <x:c r="P49" s="407" t="n"/>
      <x:c r="Q49" s="407" t="n"/>
      <x:c r="R49" s="407" t="n"/>
      <x:c r="S49" s="407" t="n"/>
      <x:c r="T49" s="407" t="n"/>
      <x:c r="U49" s="407" t="n"/>
      <x:c r="V49" s="407" t="n"/>
      <x:c r="W49" s="407" t="n"/>
    </x:row>
    <x:row r="50" s="204" customFormat="1" ht="26" customHeight="1">
      <x:c r="A50" s="508" t="n">
        <x:v>44958</x:v>
      </x:c>
      <x:c r="B50" s="509" t="n">
        <x:v>220498</x:v>
      </x:c>
      <x:c r="C50" s="510" t="n">
        <x:f>IF(OR(B50="",B38=""),"",B50/B38-1)</x:f>
        <x:v>-0.021066137460431622</x:v>
      </x:c>
      <x:c r="D50" s="511" t="n">
        <x:v>15463.6</x:v>
      </x:c>
      <x:c r="E50" s="510" t="n">
        <x:f>IF(OR(D50="",D38=""),"",D50/D38-1)</x:f>
        <x:v>0.02547166683245461</x:v>
      </x:c>
      <x:c r="F50" s="511" t="n">
        <x:v>10204</x:v>
      </x:c>
      <x:c r="G50" s="510" t="n">
        <x:f>IF(OR(F50="",F38=""),"",F50/F38-1)</x:f>
        <x:v>0.032542702177608795</x:v>
      </x:c>
      <x:c r="H50" s="815" t="str">
        <x:v>2023-02</x:v>
      </x:c>
      <x:c r="I50" s="487" t="n"/>
      <x:c r="J50" s="487" t="n"/>
      <x:c r="K50" s="487" t="n"/>
      <x:c r="L50" s="487" t="n"/>
      <x:c r="M50" s="487" t="n"/>
      <x:c r="N50" s="487" t="n"/>
      <x:c r="O50" s="487" t="n"/>
      <x:c r="Q50" s="407" t="n"/>
      <x:c r="R50" s="407" t="n"/>
      <x:c r="S50" s="407" t="n"/>
      <x:c r="T50" s="407" t="n"/>
      <x:c r="U50" s="407" t="n"/>
      <x:c r="V50" s="407" t="n"/>
      <x:c r="W50" s="407" t="n"/>
    </x:row>
    <x:row r="51" s="204" customFormat="1" ht="19" customHeight="1">
      <x:c r="A51" s="502" t="n">
        <x:v>44986</x:v>
      </x:c>
      <x:c r="B51" s="503" t="n">
        <x:v>217064</x:v>
      </x:c>
      <x:c r="C51" s="504" t="n">
        <x:f>IF(OR(B51="",B39=""),"",B51/B39-1)</x:f>
        <x:v>-0.04326094526157109</x:v>
      </x:c>
      <x:c r="D51" s="505" t="n">
        <x:v>15459.9</x:v>
      </x:c>
      <x:c r="E51" s="504" t="n">
        <x:f>IF(OR(D51="",D39=""),"",D51/D39-1)</x:f>
        <x:v>0.02026014822245248</x:v>
      </x:c>
      <x:c r="F51" s="505" t="n">
        <x:v>10245.3</x:v>
      </x:c>
      <x:c r="G51" s="504" t="n">
        <x:f>IF(OR(F51="",F39=""),"",F51/F39-1)</x:f>
        <x:v>0.0316379857216218</x:v>
      </x:c>
      <x:c r="H51" s="815" t="str">
        <x:v>2023-03</x:v>
      </x:c>
      <x:c r="I51" s="487" t="n"/>
      <x:c r="J51" s="487" t="n"/>
      <x:c r="K51" s="487" t="n"/>
      <x:c r="L51" s="487" t="n"/>
      <x:c r="M51" s="487" t="n"/>
      <x:c r="N51" s="487" t="n"/>
      <x:c r="O51" s="487" t="n"/>
      <x:c r="P51" s="407" t="n"/>
      <x:c r="Q51" s="407" t="n"/>
      <x:c r="R51" s="407" t="n"/>
      <x:c r="S51" s="407" t="n"/>
      <x:c r="T51" s="407" t="n"/>
      <x:c r="U51" s="407" t="n"/>
      <x:c r="V51" s="407" t="n"/>
      <x:c r="W51" s="407" t="n"/>
    </x:row>
    <x:row r="52" s="204" customFormat="1" ht="19" customHeight="1">
      <x:c r="A52" s="508" t="n">
        <x:v>45017</x:v>
      </x:c>
      <x:c r="B52" s="509" t="n">
        <x:v>217591</x:v>
      </x:c>
      <x:c r="C52" s="510" t="n">
        <x:f>IF(OR(B52="",B40=""),"",B52/B40-1)</x:f>
        <x:v>-0.05083230095444158</x:v>
      </x:c>
      <x:c r="D52" s="511" t="n">
        <x:v>15495.1</x:v>
      </x:c>
      <x:c r="E52" s="510" t="n">
        <x:f>IF(OR(D52="",D40=""),"",D52/D40-1)</x:f>
        <x:v>0.016445383222691623</x:v>
      </x:c>
      <x:c r="F52" s="511" t="n">
        <x:v>10233.5</x:v>
      </x:c>
      <x:c r="G52" s="510" t="n">
        <x:f>IF(OR(F52="",F40=""),"",F52/F40-1)</x:f>
        <x:v>0.024538464618957923</x:v>
      </x:c>
      <x:c r="H52" s="815" t="str">
        <x:v>2023-04</x:v>
      </x:c>
      <x:c r="I52" s="487" t="n"/>
      <x:c r="J52" s="487" t="n"/>
      <x:c r="K52" s="487" t="n"/>
      <x:c r="L52" s="487" t="n"/>
      <x:c r="M52" s="487" t="n"/>
      <x:c r="N52" s="487" t="n"/>
      <x:c r="O52" s="487" t="n"/>
      <x:c r="P52" s="407" t="n"/>
      <x:c r="Q52" s="407" t="n"/>
      <x:c r="R52" s="407" t="n"/>
      <x:c r="S52" s="407" t="n"/>
      <x:c r="T52" s="407" t="n"/>
      <x:c r="U52" s="407" t="n"/>
      <x:c r="V52" s="407" t="n"/>
      <x:c r="W52" s="407" t="n"/>
    </x:row>
    <x:row r="53" s="204" customFormat="1" ht="19" customHeight="1">
      <x:c r="A53" s="502" t="n">
        <x:v>45047</x:v>
      </x:c>
      <x:c r="B53" s="503" t="n">
        <x:v>218341</x:v>
      </x:c>
      <x:c r="C53" s="504" t="n">
        <x:f>IF(OR(B53="",B41=""),"",B53/B41-1)</x:f>
        <x:v>-0.038259766459496025</x:v>
      </x:c>
      <x:c r="D53" s="505" t="n">
        <x:v>15490.6</x:v>
      </x:c>
      <x:c r="E53" s="504" t="n">
        <x:f>IF(OR(D53="",D41=""),"",D53/D41-1)</x:f>
        <x:v>0.017418261589186468</x:v>
      </x:c>
      <x:c r="F53" s="505" t="n">
        <x:v>10242.2</x:v>
      </x:c>
      <x:c r="G53" s="504" t="n">
        <x:f>IF(OR(F53="",F41=""),"",F53/F41-1)</x:f>
        <x:v>0.022491988539368624</x:v>
      </x:c>
      <x:c r="H53" s="815" t="str">
        <x:v>2023-05</x:v>
      </x:c>
      <x:c r="I53" s="487" t="n"/>
      <x:c r="J53" s="487" t="n"/>
      <x:c r="K53" s="487" t="n"/>
      <x:c r="L53" s="487" t="n"/>
      <x:c r="M53" s="487" t="n"/>
      <x:c r="N53" s="487" t="n"/>
      <x:c r="O53" s="487" t="n"/>
      <x:c r="P53" s="407" t="n"/>
      <x:c r="Q53" s="407" t="n"/>
      <x:c r="R53" s="407" t="n"/>
      <x:c r="S53" s="407" t="n"/>
      <x:c r="T53" s="407" t="n"/>
      <x:c r="U53" s="407" t="n"/>
      <x:c r="V53" s="407" t="n"/>
      <x:c r="W53" s="407" t="n"/>
    </x:row>
    <x:row r="54" s="204" customFormat="1" ht="19" customHeight="1">
      <x:c r="A54" s="508" t="n">
        <x:v>45078</x:v>
      </x:c>
      <x:c r="B54" s="509" t="n">
        <x:v>218568</x:v>
      </x:c>
      <x:c r="C54" s="510" t="n">
        <x:f>IF(OR(B54="",B42=""),"",B54/B42-1)</x:f>
        <x:v>-0.034883515551866084</x:v>
      </x:c>
      <x:c r="D54" s="511" t="n">
        <x:v>15525.2</x:v>
      </x:c>
      <x:c r="E54" s="510" t="n">
        <x:f>IF(OR(D54="",D42=""),"",D54/D42-1)</x:f>
        <x:v>0.019905138547647416</x:v>
      </x:c>
      <x:c r="F54" s="511" t="n">
        <x:v>10260.5</x:v>
      </x:c>
      <x:c r="G54" s="510" t="n">
        <x:f>IF(OR(F54="",F42=""),"",F54/F42-1)</x:f>
        <x:v>0.023430019150973536</x:v>
      </x:c>
      <x:c r="H54" s="815" t="str">
        <x:v>2023-06</x:v>
      </x:c>
      <x:c r="I54" s="487" t="n"/>
      <x:c r="J54" s="487" t="n"/>
      <x:c r="K54" s="487" t="n"/>
      <x:c r="L54" s="487" t="n"/>
      <x:c r="M54" s="487" t="n"/>
      <x:c r="N54" s="487" t="n"/>
      <x:c r="O54" s="487" t="n"/>
      <x:c r="P54" s="407" t="n"/>
      <x:c r="Q54" s="407" t="n"/>
      <x:c r="R54" s="407" t="n"/>
      <x:c r="S54" s="407" t="n"/>
      <x:c r="T54" s="407" t="n"/>
      <x:c r="U54" s="407" t="n"/>
      <x:c r="V54" s="407" t="n"/>
      <x:c r="W54" s="407" t="n"/>
    </x:row>
    <x:row r="55" s="204" customFormat="1" ht="19" customHeight="1">
      <x:c r="A55" s="502" t="n">
        <x:v>45108</x:v>
      </x:c>
      <x:c r="B55" s="503" t="n">
        <x:v>217784</x:v>
      </x:c>
      <x:c r="C55" s="504" t="n">
        <x:f>IF(OR(B55="",B43=""),"",B55/B43-1)</x:f>
        <x:v>-0.02648965178132401</x:v>
      </x:c>
      <x:c r="D55" s="505" t="n">
        <x:v>15586.4</x:v>
      </x:c>
      <x:c r="E55" s="504" t="n">
        <x:f>IF(OR(D55="",D43=""),"",D55/D43-1)</x:f>
        <x:v>0.02421490481603894</x:v>
      </x:c>
      <x:c r="F55" s="505" t="n">
        <x:v>10287.4</x:v>
      </x:c>
      <x:c r="G55" s="504" t="n">
        <x:f>IF(OR(F55="",F43=""),"",F55/F43-1)</x:f>
        <x:v>0.023245173418741327</x:v>
      </x:c>
      <x:c r="H55" s="815" t="str">
        <x:v>2023-07</x:v>
      </x:c>
      <x:c r="I55" s="487" t="n"/>
      <x:c r="J55" s="487" t="n"/>
      <x:c r="K55" s="487" t="n"/>
      <x:c r="L55" s="487" t="n"/>
      <x:c r="M55" s="487" t="n"/>
      <x:c r="N55" s="487" t="n"/>
      <x:c r="O55" s="487" t="n"/>
      <x:c r="P55" s="407" t="n"/>
      <x:c r="Q55" s="407" t="n"/>
      <x:c r="R55" s="407" t="n"/>
      <x:c r="S55" s="407" t="n"/>
      <x:c r="T55" s="407" t="n"/>
      <x:c r="U55" s="407" t="n"/>
      <x:c r="V55" s="407" t="n"/>
      <x:c r="W55" s="407" t="n"/>
    </x:row>
    <x:row r="56" s="204" customFormat="1" ht="19" customHeight="1">
      <x:c r="A56" s="508" t="n">
        <x:v>45139</x:v>
      </x:c>
      <x:c r="B56" s="509" t="n">
        <x:v>218122</x:v>
      </x:c>
      <x:c r="C56" s="510" t="n">
        <x:f>IF(OR(B56="",B44=""),"",B56/B44-1)</x:f>
        <x:v>-0.02915361059678112</x:v>
      </x:c>
      <x:c r="D56" s="511" t="n">
        <x:v>15602.4</x:v>
      </x:c>
      <x:c r="E56" s="510" t="n">
        <x:f>IF(OR(D56="",D44=""),"",D56/D44-1)</x:f>
        <x:v>0.020384939865408347</x:v>
      </x:c>
      <x:c r="F56" s="511" t="n">
        <x:v>10291.3</x:v>
      </x:c>
      <x:c r="G56" s="510" t="n">
        <x:f>IF(OR(F56="",F44=""),"",F56/F44-1)</x:f>
        <x:v>0.020152656621728715</x:v>
      </x:c>
      <x:c r="H56" s="815" t="str">
        <x:v>2023-08</x:v>
      </x:c>
      <x:c r="I56" s="487" t="n"/>
      <x:c r="J56" s="487" t="n"/>
      <x:c r="K56" s="487" t="n"/>
      <x:c r="L56" s="487" t="n"/>
      <x:c r="M56" s="487" t="n"/>
      <x:c r="N56" s="487" t="n"/>
      <x:c r="O56" s="487" t="n"/>
      <x:c r="P56" s="407" t="n"/>
      <x:c r="Q56" s="407" t="n"/>
      <x:c r="R56" s="407" t="n"/>
      <x:c r="S56" s="407" t="n"/>
      <x:c r="T56" s="407" t="n"/>
      <x:c r="U56" s="407" t="n"/>
      <x:c r="V56" s="407" t="n"/>
      <x:c r="W56" s="407" t="n"/>
    </x:row>
    <x:row r="57" s="204" customFormat="1" ht="19" customHeight="1">
      <x:c r="A57" s="502" t="n">
        <x:v>45170</x:v>
      </x:c>
      <x:c r="B57" s="503" t="n">
        <x:v>218402</x:v>
      </x:c>
      <x:c r="C57" s="504" t="n">
        <x:f>IF(OR(B57="",B45=""),"",B57/B45-1)</x:f>
        <x:v>-0.020934944771194952</x:v>
      </x:c>
      <x:c r="D57" s="505" t="n">
        <x:v>15638.6</x:v>
      </x:c>
      <x:c r="E57" s="504" t="n">
        <x:f>IF(OR(D57="",D45=""),"",D57/D45-1)</x:f>
        <x:v>0.02124964083274561</x:v>
      </x:c>
      <x:c r="F57" s="505" t="n">
        <x:v>10319</x:v>
      </x:c>
      <x:c r="G57" s="504" t="n">
        <x:f>IF(OR(F57="",F45=""),"",F57/F45-1)</x:f>
        <x:v>0.020450544886374766</x:v>
      </x:c>
      <x:c r="H57" s="815" t="str">
        <x:v>2023-09</x:v>
      </x:c>
      <x:c r="I57" s="487" t="n"/>
      <x:c r="J57" s="487" t="n"/>
      <x:c r="K57" s="487" t="n"/>
      <x:c r="L57" s="487" t="n"/>
      <x:c r="M57" s="487" t="n"/>
      <x:c r="N57" s="487" t="n"/>
      <x:c r="O57" s="487" t="n"/>
      <x:c r="P57" s="407" t="n"/>
      <x:c r="Q57" s="407" t="n"/>
      <x:c r="R57" s="407" t="n"/>
      <x:c r="S57" s="407" t="n"/>
      <x:c r="T57" s="407" t="n"/>
      <x:c r="U57" s="407" t="n"/>
      <x:c r="V57" s="407" t="n"/>
      <x:c r="W57" s="407" t="n"/>
    </x:row>
    <x:row r="58" s="204" customFormat="1" ht="19" customHeight="1">
      <x:c r="A58" s="508" t="n">
        <x:v>45200</x:v>
      </x:c>
      <x:c r="B58" s="509" t="n">
        <x:v>217037</x:v>
      </x:c>
      <x:c r="C58" s="510" t="n">
        <x:f>IF(OR(B58="",B46=""),"",B58/B46-1)</x:f>
        <x:v>-0.030197278759579116</x:v>
      </x:c>
      <x:c r="D58" s="511" t="n">
        <x:v>15680.8</x:v>
      </x:c>
      <x:c r="E58" s="510" t="n">
        <x:f>IF(OR(D58="",D46=""),"",D58/D46-1)</x:f>
        <x:v>0.022096494544316725</x:v>
      </x:c>
      <x:c r="F58" s="511" t="n">
        <x:v>10361.5</x:v>
      </x:c>
      <x:c r="G58" s="510" t="n">
        <x:f>IF(OR(F58="",F46=""),"",F58/F46-1)</x:f>
        <x:v>0.023388347309055924</x:v>
      </x:c>
      <x:c r="H58" s="815" t="str">
        <x:v>2023-10</x:v>
      </x:c>
      <x:c r="I58" s="487" t="n"/>
      <x:c r="J58" s="487" t="n"/>
      <x:c r="K58" s="487" t="n"/>
      <x:c r="L58" s="487" t="n"/>
      <x:c r="M58" s="487" t="n"/>
      <x:c r="N58" s="487" t="n"/>
      <x:c r="O58" s="487" t="n"/>
      <x:c r="P58" s="407" t="n"/>
      <x:c r="Q58" s="407" t="n"/>
      <x:c r="R58" s="407" t="n"/>
      <x:c r="S58" s="407" t="n"/>
      <x:c r="T58" s="407" t="n"/>
      <x:c r="U58" s="407" t="n"/>
      <x:c r="V58" s="407" t="n"/>
      <x:c r="W58" s="407" t="n"/>
    </x:row>
    <x:row r="59" s="204" customFormat="1" ht="19" customHeight="1">
      <x:c r="A59" s="502" t="n">
        <x:v>45231</x:v>
      </x:c>
      <x:c r="B59" s="503" t="n">
        <x:v>216266</x:v>
      </x:c>
      <x:c r="C59" s="504" t="n">
        <x:f>IF(OR(B59="",B47=""),"",B59/B47-1)</x:f>
        <x:v>-0.01559455965624601</x:v>
      </x:c>
      <x:c r="D59" s="505" t="n">
        <x:v>15733.4</x:v>
      </x:c>
      <x:c r="E59" s="504" t="n">
        <x:f>IF(OR(D59="",D47=""),"",D59/D47-1)</x:f>
        <x:v>0.029026266220175678</x:v>
      </x:c>
      <x:c r="F59" s="505" t="n">
        <x:v>10404.2</x:v>
      </x:c>
      <x:c r="G59" s="504" t="n">
        <x:f>IF(OR(F59="",F47=""),"",F59/F47-1)</x:f>
        <x:v>0.02585288897653326</x:v>
      </x:c>
      <x:c r="H59" s="815" t="str">
        <x:v>2023-11</x:v>
      </x:c>
      <x:c r="I59" s="487" t="n"/>
      <x:c r="J59" s="487" t="n"/>
      <x:c r="K59" s="487" t="n"/>
      <x:c r="L59" s="487" t="n"/>
      <x:c r="M59" s="487" t="n"/>
      <x:c r="N59" s="487" t="n"/>
      <x:c r="O59" s="487" t="n"/>
      <x:c r="P59" s="407" t="n"/>
      <x:c r="Q59" s="407" t="n"/>
      <x:c r="R59" s="407" t="n"/>
      <x:c r="S59" s="407" t="n"/>
      <x:c r="T59" s="407" t="n"/>
      <x:c r="U59" s="407" t="n"/>
      <x:c r="V59" s="407" t="n"/>
      <x:c r="W59" s="407" t="n"/>
    </x:row>
    <x:row r="60" s="204" customFormat="1" ht="19" customHeight="1">
      <x:c r="A60" s="508" t="n">
        <x:v>45261</x:v>
      </x:c>
      <x:c r="B60" s="509" t="n">
        <x:v>216027</x:v>
      </x:c>
      <x:c r="C60" s="510" t="n">
        <x:f>IF(OR(B60="",B48=""),"",B60/B48-1)</x:f>
        <x:v>-0.004236077180496567</x:v>
      </x:c>
      <x:c r="D60" s="511" t="n">
        <x:v>15780.4</x:v>
      </x:c>
      <x:c r="E60" s="510" t="n">
        <x:f>IF(OR(D60="",D48=""),"",D60/D48-1)</x:f>
        <x:v>0.032850083450600476</x:v>
      </x:c>
      <x:c r="F60" s="511" t="n">
        <x:v>10423</x:v>
      </x:c>
      <x:c r="G60" s="510" t="n">
        <x:f>IF(OR(F60="",F48=""),"",F60/F48-1)</x:f>
        <x:v>0.02652235145808901</x:v>
      </x:c>
      <x:c r="H60" s="815" t="str">
        <x:v>2023-12</x:v>
      </x:c>
      <x:c r="I60" s="487" t="n"/>
      <x:c r="J60" s="487" t="n"/>
      <x:c r="K60" s="487" t="n"/>
      <x:c r="L60" s="487" t="n"/>
      <x:c r="M60" s="487" t="n"/>
      <x:c r="N60" s="487" t="n"/>
      <x:c r="O60" s="487" t="n"/>
      <x:c r="P60" s="407" t="n"/>
      <x:c r="Q60" s="407" t="n"/>
      <x:c r="R60" s="407" t="n"/>
      <x:c r="S60" s="407" t="n"/>
      <x:c r="T60" s="407" t="n"/>
      <x:c r="U60" s="407" t="n"/>
      <x:c r="V60" s="407" t="n"/>
      <x:c r="W60" s="407" t="n"/>
    </x:row>
    <x:row r="61" s="204" customFormat="1" ht="19" customHeight="1">
      <x:c r="A61" s="502" t="n">
        <x:v>45292</x:v>
      </x:c>
      <x:c r="B61" s="503" t="n">
        <x:v>213305</x:v>
      </x:c>
      <x:c r="C61" s="504" t="n">
        <x:f>IF(OR(B61="",B49=""),"",B61/B49-1)</x:f>
        <x:v>-0.05015407359908808</x:v>
      </x:c>
      <x:c r="D61" s="505" t="n">
        <x:v>15744.7</x:v>
      </x:c>
      <x:c r="E61" s="504" t="n">
        <x:f>IF(OR(D61="",D49=""),"",D61/D49-1)</x:f>
        <x:v>0.016895841272096757</x:v>
      </x:c>
      <x:c r="F61" s="505" t="n">
        <x:v>10436.3</x:v>
      </x:c>
      <x:c r="G61" s="504" t="n">
        <x:f>IF(OR(F61="",F49=""),"",F61/F49-1)</x:f>
        <x:v>0.022966085081356447</x:v>
      </x:c>
      <x:c r="H61" s="815" t="str">
        <x:v>2024-01</x:v>
      </x:c>
      <x:c r="I61" s="487" t="n"/>
      <x:c r="J61" s="487" t="n"/>
      <x:c r="K61" s="487" t="n"/>
      <x:c r="L61" s="487" t="n"/>
      <x:c r="M61" s="487" t="n"/>
      <x:c r="N61" s="487" t="n"/>
      <x:c r="O61" s="487" t="n"/>
      <x:c r="P61" s="407" t="n"/>
      <x:c r="Q61" s="407" t="n"/>
      <x:c r="R61" s="407" t="n"/>
      <x:c r="S61" s="407" t="n"/>
      <x:c r="T61" s="407" t="n"/>
      <x:c r="U61" s="407" t="n"/>
      <x:c r="V61" s="407" t="n"/>
      <x:c r="W61" s="407" t="n"/>
    </x:row>
    <x:row r="62" s="204" customFormat="1" ht="19" customHeight="1">
      <x:c r="A62" s="508" t="n">
        <x:v>45323</x:v>
      </x:c>
      <x:c r="B62" s="509" t="n">
        <x:v>213727</x:v>
      </x:c>
      <x:c r="C62" s="510" t="n">
        <x:f>IF(OR(B62="",B50=""),"",B62/B50-1)</x:f>
        <x:v>-0.03070776152164645</x:v>
      </x:c>
      <x:c r="D62" s="511" t="n">
        <x:v>15801.8</x:v>
      </x:c>
      <x:c r="E62" s="510" t="n">
        <x:f>IF(OR(D62="",D50=""),"",D62/D50-1)</x:f>
        <x:v>0.021870715745363256</x:v>
      </x:c>
      <x:c r="F62" s="511" t="n">
        <x:v>10494</x:v>
      </x:c>
      <x:c r="G62" s="510" t="n">
        <x:f>IF(OR(F62="",F50=""),"",F62/F50-1)</x:f>
        <x:v>0.028420227361818817</x:v>
      </x:c>
      <x:c r="H62" s="815" t="str">
        <x:v>2024-02</x:v>
      </x:c>
      <x:c r="I62" s="487" t="n"/>
      <x:c r="J62" s="487" t="n"/>
      <x:c r="K62" s="487" t="n"/>
      <x:c r="L62" s="487" t="n"/>
      <x:c r="M62" s="487" t="n"/>
      <x:c r="N62" s="487" t="n"/>
      <x:c r="O62" s="487" t="n"/>
      <x:c r="P62" s="407" t="n"/>
      <x:c r="Q62" s="407" t="n"/>
      <x:c r="R62" s="407" t="n"/>
      <x:c r="S62" s="407" t="n"/>
      <x:c r="T62" s="407" t="n"/>
      <x:c r="U62" s="407" t="n"/>
      <x:c r="V62" s="407" t="n"/>
      <x:c r="W62" s="407" t="n"/>
    </x:row>
    <x:row r="63" s="204" customFormat="1" ht="19" customHeight="1">
      <x:c r="A63" s="502" t="n">
        <x:v>45352</x:v>
      </x:c>
      <x:c r="B63" s="503" t="n">
        <x:v>212690</x:v>
      </x:c>
      <x:c r="C63" s="504" t="n">
        <x:f>IF(OR(B63="",B51=""),"",B63/B51-1)</x:f>
        <x:v>-0.020150738952567027</x:v>
      </x:c>
      <x:c r="D63" s="505" t="n">
        <x:v>15854</x:v>
      </x:c>
      <x:c r="E63" s="504" t="n">
        <x:f>IF(OR(D63="",D51=""),"",D63/D51-1)</x:f>
        <x:v>0.025491756091565954</x:v>
      </x:c>
      <x:c r="F63" s="505" t="n">
        <x:v>10505.7</x:v>
      </x:c>
      <x:c r="G63" s="504" t="n">
        <x:f>IF(OR(F63="",F51=""),"",F63/F51-1)</x:f>
        <x:v>0.025416532458786056</x:v>
      </x:c>
      <x:c r="H63" s="815" t="str">
        <x:v>2024-03</x:v>
      </x:c>
      <x:c r="I63" s="487" t="n"/>
      <x:c r="J63" s="487" t="n"/>
      <x:c r="K63" s="487" t="n"/>
      <x:c r="L63" s="487" t="n"/>
      <x:c r="M63" s="487" t="n"/>
      <x:c r="N63" s="487" t="n"/>
      <x:c r="O63" s="487" t="n"/>
      <x:c r="P63" s="407" t="n"/>
      <x:c r="Q63" s="407" t="n"/>
      <x:c r="R63" s="407" t="n"/>
      <x:c r="S63" s="407" t="n"/>
      <x:c r="T63" s="407" t="n"/>
      <x:c r="U63" s="407" t="n"/>
      <x:c r="V63" s="407" t="n"/>
      <x:c r="W63" s="407" t="n"/>
    </x:row>
    <x:row r="64" s="204" customFormat="1" ht="19" customHeight="1">
      <x:c r="A64" s="508" t="n">
        <x:v>45383</x:v>
      </x:c>
      <x:c r="B64" s="509" t="n">
        <x:v>212399</x:v>
      </x:c>
      <x:c r="C64" s="510" t="n">
        <x:f>IF(OR(B64="",B52=""),"",B64/B52-1)</x:f>
        <x:v>-0.023861281027248382</x:v>
      </x:c>
      <x:c r="D64" s="511" t="n">
        <x:v>15884.2</x:v>
      </x:c>
      <x:c r="E64" s="510" t="n">
        <x:f>IF(OR(D64="",D52=""),"",D64/D52-1)</x:f>
        <x:v>0.025111164174481004</x:v>
      </x:c>
      <x:c r="F64" s="511" t="n">
        <x:v>10526.5</x:v>
      </x:c>
      <x:c r="G64" s="510" t="n">
        <x:f>IF(OR(F64="",F52=""),"",F64/F52-1)</x:f>
        <x:v>0.0286314555137539</x:v>
      </x:c>
      <x:c r="H64" s="815" t="str">
        <x:v>2024-04</x:v>
      </x:c>
      <x:c r="I64" s="487" t="n"/>
      <x:c r="J64" s="487" t="n"/>
      <x:c r="K64" s="487" t="n"/>
      <x:c r="L64" s="487" t="n"/>
      <x:c r="M64" s="487" t="n"/>
      <x:c r="N64" s="487" t="n"/>
      <x:c r="O64" s="487" t="n"/>
      <x:c r="P64" s="407" t="n"/>
      <x:c r="Q64" s="407" t="n"/>
      <x:c r="R64" s="407" t="n"/>
      <x:c r="S64" s="407" t="n"/>
      <x:c r="T64" s="407" t="n"/>
      <x:c r="U64" s="407" t="n"/>
      <x:c r="V64" s="407" t="n"/>
      <x:c r="W64" s="407" t="n"/>
    </x:row>
    <x:row r="65" s="204" customFormat="1" ht="19" customHeight="1">
      <x:c r="A65" s="502" t="n">
        <x:v>45413</x:v>
      </x:c>
      <x:c r="B65" s="503" t="n">
        <x:v>213190</x:v>
      </x:c>
      <x:c r="C65" s="504" t="n">
        <x:f>IF(OR(B65="",B53=""),"",B65/B53-1)</x:f>
        <x:v>-0.023591538007062374</x:v>
      </x:c>
      <x:c r="D65" s="505" t="n">
        <x:v>15960.6</x:v>
      </x:c>
      <x:c r="E65" s="504" t="n">
        <x:f>IF(OR(D65="",D53=""),"",D65/D53-1)</x:f>
        <x:v>0.030340980982014987</x:v>
      </x:c>
      <x:c r="F65" s="505" t="n">
        <x:v>10556.2</x:v>
      </x:c>
      <x:c r="G65" s="504" t="n">
        <x:f>IF(OR(F65="",F53=""),"",F65/F53-1)</x:f>
        <x:v>0.03065747593290502</x:v>
      </x:c>
      <x:c r="H65" s="815" t="str">
        <x:v>2024-05</x:v>
      </x:c>
      <x:c r="I65" s="487" t="n"/>
      <x:c r="J65" s="487" t="n"/>
      <x:c r="K65" s="487" t="n"/>
      <x:c r="L65" s="487" t="n"/>
      <x:c r="M65" s="487" t="n"/>
      <x:c r="N65" s="487" t="n"/>
      <x:c r="O65" s="487" t="n"/>
      <x:c r="P65" s="407" t="n"/>
      <x:c r="Q65" s="407" t="n"/>
      <x:c r="R65" s="407" t="n"/>
      <x:c r="S65" s="407" t="n"/>
      <x:c r="T65" s="407" t="n"/>
      <x:c r="U65" s="407" t="n"/>
      <x:c r="V65" s="407" t="n"/>
      <x:c r="W65" s="407" t="n"/>
    </x:row>
    <x:row r="66" s="204" customFormat="1" ht="19" customHeight="1">
      <x:c r="A66" s="508" t="n">
        <x:v>45444</x:v>
      </x:c>
      <x:c r="B66" s="509" t="n">
        <x:v>212762</x:v>
      </x:c>
      <x:c r="C66" s="510" t="n">
        <x:f>IF(OR(B66="",B54=""),"",B66/B54-1)</x:f>
        <x:v>-0.026563815380110545</x:v>
      </x:c>
      <x:c r="D66" s="511" t="n">
        <x:v>16013</x:v>
      </x:c>
      <x:c r="E66" s="510" t="n">
        <x:f>IF(OR(D66="",D54=""),"",D66/D54-1)</x:f>
        <x:v>0.03141988509004712</x:v>
      </x:c>
      <x:c r="F66" s="511" t="n">
        <x:v>10588.8</x:v>
      </x:c>
      <x:c r="G66" s="510" t="n">
        <x:f>IF(OR(F66="",F54=""),"",F66/F54-1)</x:f>
        <x:v>0.03199649139905447</x:v>
      </x:c>
      <x:c r="H66" s="815" t="str">
        <x:v>2024-06</x:v>
      </x:c>
      <x:c r="I66" s="487" t="n"/>
      <x:c r="J66" s="487" t="n"/>
      <x:c r="K66" s="487" t="n"/>
      <x:c r="L66" s="487" t="n"/>
      <x:c r="M66" s="487" t="n"/>
      <x:c r="N66" s="487" t="n"/>
      <x:c r="O66" s="487" t="n"/>
      <x:c r="P66" s="407" t="n"/>
      <x:c r="Q66" s="407" t="n"/>
      <x:c r="R66" s="407" t="n"/>
      <x:c r="S66" s="407" t="n"/>
      <x:c r="T66" s="407" t="n"/>
      <x:c r="U66" s="407" t="n"/>
      <x:c r="V66" s="407" t="n"/>
      <x:c r="W66" s="407" t="n"/>
    </x:row>
    <x:row r="67" s="204" customFormat="1" ht="19" customHeight="1">
      <x:c r="A67" s="502" t="n">
        <x:v>45474</x:v>
      </x:c>
      <x:c r="B67" s="503" t="n">
        <x:v>214837</x:v>
      </x:c>
      <x:c r="C67" s="504" t="n">
        <x:f>IF(OR(B67="",B55=""),"",B67/B55-1)</x:f>
        <x:v>-0.013531756235536152</x:v>
      </x:c>
      <x:c r="D67" s="505" t="n">
        <x:v>16058.8</x:v>
      </x:c>
      <x:c r="E67" s="504" t="n">
        <x:f>IF(OR(D67="",D55=""),"",D67/D55-1)</x:f>
        <x:v>0.030308474054303813</x:v>
      </x:c>
      <x:c r="F67" s="505" t="n">
        <x:v>10603.6</x:v>
      </x:c>
      <x:c r="G67" s="504" t="n">
        <x:f>IF(OR(F67="",F55=""),"",F67/F55-1)</x:f>
        <x:v>0.03073662927464671</x:v>
      </x:c>
      <x:c r="H67" s="815" t="str">
        <x:v>2024-07</x:v>
      </x:c>
      <x:c r="I67" s="487" t="n"/>
      <x:c r="J67" s="487" t="n"/>
      <x:c r="K67" s="487" t="n"/>
      <x:c r="L67" s="487" t="n"/>
      <x:c r="M67" s="487" t="n"/>
      <x:c r="N67" s="487" t="n"/>
      <x:c r="O67" s="487" t="n"/>
      <x:c r="P67" s="407" t="n"/>
      <x:c r="Q67" s="407" t="n"/>
      <x:c r="R67" s="407" t="n"/>
      <x:c r="S67" s="407" t="n"/>
      <x:c r="T67" s="407" t="n"/>
      <x:c r="U67" s="407" t="n"/>
      <x:c r="V67" s="407" t="n"/>
      <x:c r="W67" s="407" t="n"/>
    </x:row>
    <x:row r="68" s="204" customFormat="1" ht="19" customHeight="1">
      <x:c r="A68" s="508" t="n">
        <x:v>45505</x:v>
      </x:c>
      <x:c r="B68" s="509" t="n">
        <x:v>213546</x:v>
      </x:c>
      <x:c r="C68" s="510" t="n">
        <x:f>IF(OR(B68="",B56=""),"",B68/B56-1)</x:f>
        <x:v>-0.020979085099164685</x:v>
      </x:c>
      <x:c r="D68" s="511" t="n">
        <x:v>16071.4</x:v>
      </x:c>
      <x:c r="E68" s="510" t="n">
        <x:f>IF(OR(D68="",D56=""),"",D68/D56-1)</x:f>
        <x:v>0.03005947802902109</x:v>
      </x:c>
      <x:c r="F68" s="511" t="n">
        <x:v>10634</x:v>
      </x:c>
      <x:c r="G68" s="510" t="n">
        <x:f>IF(OR(F68="",F56=""),"",F68/F56-1)</x:f>
        <x:v>0.03329997182085842</x:v>
      </x:c>
      <x:c r="H68" s="815" t="str">
        <x:v>2024-08</x:v>
      </x:c>
      <x:c r="I68" s="487" t="n"/>
      <x:c r="J68" s="487" t="n"/>
      <x:c r="K68" s="487" t="n"/>
      <x:c r="L68" s="487" t="n"/>
      <x:c r="M68" s="487" t="n"/>
      <x:c r="N68" s="487" t="n"/>
      <x:c r="O68" s="487" t="n"/>
      <x:c r="P68" s="407" t="n"/>
      <x:c r="Q68" s="407" t="n"/>
      <x:c r="R68" s="407" t="n"/>
      <x:c r="S68" s="407" t="n"/>
      <x:c r="T68" s="407" t="n"/>
      <x:c r="U68" s="407" t="n"/>
      <x:c r="V68" s="407" t="n"/>
      <x:c r="W68" s="407" t="n"/>
    </x:row>
    <x:row r="69" s="204" customFormat="1" ht="19" customHeight="1">
      <x:c r="A69" s="502" t="n">
        <x:v>45536</x:v>
      </x:c>
      <x:c r="B69" s="503" t="n">
        <x:v>214788</x:v>
      </x:c>
      <x:c r="C69" s="504" t="n">
        <x:f>IF(OR(B69="",B57=""),"",B69/B57-1)</x:f>
        <x:v>-0.016547467514033798</x:v>
      </x:c>
      <x:c r="D69" s="505" t="n">
        <x:v>16165.2</x:v>
      </x:c>
      <x:c r="E69" s="504" t="n">
        <x:f>IF(OR(D69="",D57=""),"",D69/D57-1)</x:f>
        <x:v>0.0336730909416445</x:v>
      </x:c>
      <x:c r="F69" s="505" t="n">
        <x:v>10653.8</x:v>
      </x:c>
      <x:c r="G69" s="504" t="n">
        <x:f>IF(OR(F69="",F57=""),"",F69/F57-1)</x:f>
        <x:v>0.03244500436088771</x:v>
      </x:c>
      <x:c r="H69" s="815" t="str">
        <x:v>2024-09</x:v>
      </x:c>
      <x:c r="I69" s="487" t="n"/>
      <x:c r="J69" s="487" t="n"/>
      <x:c r="K69" s="487" t="n"/>
      <x:c r="L69" s="487" t="n"/>
      <x:c r="M69" s="487" t="n"/>
      <x:c r="N69" s="487" t="n"/>
      <x:c r="O69" s="487" t="n"/>
      <x:c r="P69" s="407" t="n"/>
      <x:c r="Q69" s="407" t="n"/>
      <x:c r="R69" s="407" t="n"/>
      <x:c r="S69" s="407" t="n"/>
      <x:c r="T69" s="407" t="n"/>
      <x:c r="U69" s="407" t="n"/>
      <x:c r="V69" s="407" t="n"/>
      <x:c r="W69" s="407" t="n"/>
    </x:row>
    <x:row r="70" s="204" customFormat="1" ht="19" customHeight="1">
      <x:c r="A70" s="508" t="n">
        <x:v>45566</x:v>
      </x:c>
      <x:c r="B70" s="509" t="n">
        <x:v>216014</x:v>
      </x:c>
      <x:c r="C70" s="510" t="n">
        <x:f>IF(OR(B70="",B58=""),"",B70/B58-1)</x:f>
        <x:v>-0.004713482033017358</x:v>
      </x:c>
      <x:c r="D70" s="511" t="n">
        <x:v>16185.1</x:v>
      </x:c>
      <x:c r="E70" s="510" t="n">
        <x:f>IF(OR(D70="",D58=""),"",D70/D58-1)</x:f>
        <x:v>0.032160348961787655</x:v>
      </x:c>
      <x:c r="F70" s="511" t="n">
        <x:v>10683.3</x:v>
      </x:c>
      <x:c r="G70" s="510" t="n">
        <x:f>IF(OR(F70="",F58=""),"",F70/F58-1)</x:f>
        <x:v>0.0310572793514452</x:v>
      </x:c>
      <x:c r="H70" s="815" t="str">
        <x:v>2024-10</x:v>
      </x:c>
      <x:c r="I70" s="487" t="n"/>
      <x:c r="J70" s="487" t="n"/>
      <x:c r="K70" s="487" t="n"/>
      <x:c r="L70" s="487" t="n"/>
      <x:c r="M70" s="487" t="n"/>
      <x:c r="N70" s="487" t="n"/>
      <x:c r="O70" s="487" t="n"/>
      <x:c r="P70" s="407" t="n"/>
      <x:c r="Q70" s="407" t="n"/>
      <x:c r="R70" s="407" t="n"/>
      <x:c r="S70" s="407" t="n"/>
      <x:c r="T70" s="407" t="n"/>
      <x:c r="U70" s="407" t="n"/>
      <x:c r="V70" s="407" t="n"/>
      <x:c r="W70" s="407" t="n"/>
    </x:row>
    <x:row r="71" s="204" customFormat="1" ht="19" customHeight="1">
      <x:c r="A71" s="502" t="n">
        <x:v>45597</x:v>
      </x:c>
      <x:c r="B71" s="503" t="n">
        <x:v>216635</x:v>
      </x:c>
      <x:c r="C71" s="504" t="n">
        <x:f>IF(OR(B71="",B59=""),"",B71/B59-1)</x:f>
        <x:v>0.0017062321400498348</x:v>
      </x:c>
      <x:c r="D71" s="505" t="n">
        <x:v>16246.1</x:v>
      </x:c>
      <x:c r="E71" s="504" t="n">
        <x:f>IF(OR(D71="",D59=""),"",D71/D59-1)</x:f>
        <x:v>0.03258672632743087</x:v>
      </x:c>
      <x:c r="F71" s="505" t="n">
        <x:v>10713.6</x:v>
      </x:c>
      <x:c r="G71" s="504" t="n">
        <x:f>IF(OR(F71="",F59=""),"",F71/F59-1)</x:f>
        <x:v>0.02973799042694303</x:v>
      </x:c>
      <x:c r="H71" s="815" t="str">
        <x:v>2024-11</x:v>
      </x:c>
      <x:c r="I71" s="487" t="n"/>
      <x:c r="J71" s="487" t="n"/>
      <x:c r="K71" s="487" t="n"/>
      <x:c r="L71" s="487" t="n"/>
      <x:c r="M71" s="487" t="n"/>
      <x:c r="N71" s="487" t="n"/>
      <x:c r="O71" s="487" t="n"/>
      <x:c r="P71" s="429" t="n"/>
      <x:c r="Q71" s="429" t="n"/>
      <x:c r="R71" s="429" t="n"/>
      <x:c r="S71" s="429" t="n"/>
      <x:c r="T71" s="429" t="n"/>
      <x:c r="U71" s="429" t="n"/>
      <x:c r="V71" s="429" t="n"/>
      <x:c r="W71" s="429" t="n"/>
    </x:row>
    <x:row r="72" s="204" customFormat="1" ht="19" customHeight="1">
      <x:c r="A72" s="508" t="n">
        <x:v>45627</x:v>
      </x:c>
      <x:c r="B72" s="509" t="n">
        <x:v>217817</x:v>
      </x:c>
      <x:c r="C72" s="510" t="n">
        <x:f>IF(OR(B72="",B60=""),"",B72/B60-1)</x:f>
        <x:v>0.008286001286876177</x:v>
      </x:c>
      <x:c r="D72" s="511" t="n">
        <x:v>16370.1</x:v>
      </x:c>
      <x:c r="E72" s="510" t="n">
        <x:f>IF(OR(D72="",D60=""),"",D72/D60-1)</x:f>
        <x:v>0.03736914146662951</x:v>
      </x:c>
      <x:c r="F72" s="511" t="n">
        <x:v>10757.4</x:v>
      </x:c>
      <x:c r="G72" s="510" t="n">
        <x:f>IF(OR(F72="",F60=""),"",F72/F60-1)</x:f>
        <x:v>0.03208289360069072</x:v>
      </x:c>
      <x:c r="H72" s="815" t="str">
        <x:v>2024-12</x:v>
      </x:c>
      <x:c r="I72" s="487" t="n"/>
      <x:c r="J72" s="487" t="n"/>
      <x:c r="K72" s="487" t="n"/>
      <x:c r="L72" s="487" t="n"/>
      <x:c r="M72" s="487" t="n"/>
      <x:c r="N72" s="487" t="n"/>
      <x:c r="O72" s="487" t="n"/>
      <x:c r="P72" s="429" t="n"/>
      <x:c r="Q72" s="429" t="n"/>
      <x:c r="R72" s="429" t="n"/>
      <x:c r="S72" s="429" t="n"/>
      <x:c r="T72" s="429" t="n"/>
      <x:c r="U72" s="429" t="n"/>
      <x:c r="V72" s="429" t="n"/>
      <x:c r="W72" s="429" t="n"/>
    </x:row>
    <x:row r="73" s="204" customFormat="1" ht="19" customHeight="1">
      <x:c r="A73" s="502" t="n">
        <x:v>45658</x:v>
      </x:c>
      <x:c r="B73" s="503" t="n">
        <x:v>215405</x:v>
      </x:c>
      <x:c r="C73" s="504" t="n">
        <x:f>IF(OR(B73="",B61=""),"",B73/B61-1)</x:f>
        <x:v>0.009845057546705505</x:v>
      </x:c>
      <x:c r="D73" s="505" t="n">
        <x:v>16266.3</x:v>
      </x:c>
      <x:c r="E73" s="504" t="n">
        <x:f>IF(OR(D73="",D61=""),"",D73/D61-1)</x:f>
        <x:v>0.033128608357097855</x:v>
      </x:c>
      <x:c r="F73" s="505" t="n">
        <x:v>10762.6</x:v>
      </x:c>
      <x:c r="G73" s="504" t="n">
        <x:f>IF(OR(F73="",F61=""),"",F73/F61-1)</x:f>
        <x:v>0.031265870088058145</x:v>
      </x:c>
      <x:c r="H73" s="815" t="str">
        <x:v>2025-01</x:v>
      </x:c>
      <x:c r="I73" s="487" t="n"/>
      <x:c r="J73" s="487" t="n"/>
      <x:c r="K73" s="487" t="n"/>
      <x:c r="L73" s="487" t="n"/>
      <x:c r="M73" s="487" t="n"/>
      <x:c r="N73" s="487" t="n"/>
      <x:c r="O73" s="487" t="n"/>
      <x:c r="P73" s="429" t="n"/>
      <x:c r="Q73" s="429" t="n"/>
      <x:c r="R73" s="429" t="n"/>
      <x:c r="S73" s="429" t="n"/>
      <x:c r="T73" s="429" t="n"/>
      <x:c r="U73" s="429" t="n"/>
      <x:c r="V73" s="429" t="n"/>
      <x:c r="W73" s="429" t="n"/>
    </x:row>
    <x:row r="74" s="204" customFormat="1" ht="19" customHeight="1">
      <x:c r="A74" s="508" t="n">
        <x:v>45689</x:v>
      </x:c>
      <x:c r="B74" s="509" t="n">
        <x:v>213893</x:v>
      </x:c>
      <x:c r="C74" s="510" t="n">
        <x:f>IF(OR(B74="",B62=""),"",B74/B62-1)</x:f>
        <x:v>0.0007766917609848267</x:v>
      </x:c>
      <x:c r="D74" s="511" t="n">
        <x:v>16251.3</x:v>
      </x:c>
      <x:c r="E74" s="510" t="n">
        <x:f>IF(OR(D74="",D62=""),"",D74/D62-1)</x:f>
        <x:v>0.02844612639066435</x:v>
      </x:c>
      <x:c r="F74" s="511" t="n">
        <x:v>10731.4</x:v>
      </x:c>
      <x:c r="G74" s="510" t="n">
        <x:f>IF(OR(F74="",F62=""),"",F74/F62-1)</x:f>
        <x:v>0.02262245092433779</x:v>
      </x:c>
      <x:c r="H74" s="815" t="str">
        <x:v>2025-02</x:v>
      </x:c>
      <x:c r="I74" s="487" t="n"/>
      <x:c r="J74" s="487" t="n"/>
      <x:c r="K74" s="487" t="n"/>
      <x:c r="L74" s="487" t="n"/>
      <x:c r="M74" s="487" t="n"/>
      <x:c r="N74" s="487" t="n"/>
      <x:c r="O74" s="487" t="n"/>
      <x:c r="P74" s="429" t="n"/>
      <x:c r="Q74" s="429" t="n"/>
      <x:c r="R74" s="429" t="n"/>
      <x:c r="S74" s="429" t="n"/>
      <x:c r="T74" s="429" t="n"/>
      <x:c r="U74" s="429" t="n"/>
      <x:c r="V74" s="429" t="n"/>
      <x:c r="W74" s="429" t="n"/>
    </x:row>
    <x:row r="75" s="204" customFormat="1" ht="19" customHeight="1">
      <x:c r="A75" s="502" t="n">
        <x:v>45717</x:v>
      </x:c>
      <x:c r="B75" s="503" t="n">
        <x:v>217255</x:v>
      </x:c>
      <x:c r="C75" s="504" t="n">
        <x:f>IF(OR(B75="",B63=""),"",B75/B63-1)</x:f>
        <x:v>0.02146316234895851</x:v>
      </x:c>
      <x:c r="D75" s="505" t="n">
        <x:v>16362.3</x:v>
      </x:c>
      <x:c r="E75" s="504" t="n">
        <x:f>IF(OR(D75="",D63=""),"",D75/D63-1)</x:f>
        <x:v>0.03206130944871943</x:v>
      </x:c>
      <x:c r="F75" s="505" t="n">
        <x:v>10771.5</x:v>
      </x:c>
      <x:c r="G75" s="504" t="n">
        <x:f>IF(OR(F75="",F63=""),"",F75/F63-1)</x:f>
        <x:v>0.025300551129386895</x:v>
      </x:c>
      <x:c r="H75" s="815" t="str">
        <x:v>2025-03</x:v>
      </x:c>
      <x:c r="I75" s="487" t="n"/>
      <x:c r="J75" s="487" t="n"/>
      <x:c r="K75" s="487" t="n"/>
      <x:c r="L75" s="487" t="n"/>
      <x:c r="M75" s="487" t="n"/>
      <x:c r="N75" s="487" t="n"/>
      <x:c r="O75" s="487" t="n"/>
      <x:c r="P75" s="429" t="n"/>
      <x:c r="Q75" s="429" t="n"/>
      <x:c r="R75" s="429" t="n"/>
      <x:c r="S75" s="429" t="n"/>
      <x:c r="T75" s="429" t="n"/>
      <x:c r="U75" s="429" t="n"/>
      <x:c r="V75" s="429" t="n"/>
      <x:c r="W75" s="429" t="n"/>
    </x:row>
    <x:row r="76" s="204" customFormat="1" ht="19" customHeight="1">
      <x:c r="A76" s="508" t="n">
        <x:v>45748</x:v>
      </x:c>
      <x:c r="B76" s="509" t="n">
        <x:v>217128</x:v>
      </x:c>
      <x:c r="C76" s="510" t="n">
        <x:f>IF(OR(B76="",B64=""),"",B76/B64-1)</x:f>
        <x:v>0.02226469992796587</x:v>
      </x:c>
      <x:c r="D76" s="511" t="n">
        <x:v>16372</x:v>
      </x:c>
      <x:c r="E76" s="510" t="n">
        <x:f>IF(OR(D76="",D64=""),"",D76/D64-1)</x:f>
        <x:v>0.030709761901764</x:v>
      </x:c>
      <x:c r="F76" s="511" t="n">
        <x:v>10780.3</x:v>
      </x:c>
      <x:c r="G76" s="510" t="n">
        <x:f>IF(OR(F76="",F64=""),"",F76/F64-1)</x:f>
        <x:v>0.024110578064883814</x:v>
      </x:c>
      <x:c r="H76" s="815" t="str">
        <x:v>2025-04</x:v>
      </x:c>
      <x:c r="I76" s="487" t="n"/>
      <x:c r="J76" s="487" t="n"/>
      <x:c r="K76" s="487" t="n"/>
      <x:c r="L76" s="487" t="n"/>
      <x:c r="M76" s="487" t="n"/>
      <x:c r="N76" s="487" t="n"/>
      <x:c r="O76" s="487" t="n"/>
      <x:c r="P76" s="429" t="n"/>
      <x:c r="Q76" s="429" t="n"/>
      <x:c r="R76" s="429" t="n"/>
      <x:c r="S76" s="429" t="n"/>
      <x:c r="T76" s="429" t="n"/>
      <x:c r="U76" s="429" t="n"/>
      <x:c r="V76" s="429" t="n"/>
      <x:c r="W76" s="429" t="n"/>
    </x:row>
    <x:row r="77" s="204" customFormat="1" ht="19" customHeight="1">
      <x:c r="A77" s="502" t="n">
        <x:v>45778</x:v>
      </x:c>
      <x:c r="B77" s="503" t="n">
        <x:v>213801</x:v>
      </x:c>
      <x:c r="C77" s="504" t="n">
        <x:f>IF(OR(B77="",B65=""),"",B77/B65-1)</x:f>
        <x:v>0.002865988085745119</x:v>
      </x:c>
      <x:c r="D77" s="505" t="n">
        <x:v>16349.6</x:v>
      </x:c>
      <x:c r="E77" s="504" t="n">
        <x:f>IF(OR(D77="",D65=""),"",D77/D65-1)</x:f>
        <x:v>0.024372517323910214</x:v>
      </x:c>
      <x:c r="F77" s="505" t="n">
        <x:v>10797.1</x:v>
      </x:c>
      <x:c r="G77" s="504" t="n">
        <x:f>IF(OR(F77="",F65=""),"",F77/F65-1)</x:f>
        <x:v>0.02282071199863589</x:v>
      </x:c>
      <x:c r="H77" s="815" t="str">
        <x:v>2025-05</x:v>
      </x:c>
      <x:c r="I77" s="487" t="n"/>
      <x:c r="J77" s="487" t="n"/>
      <x:c r="K77" s="487" t="n"/>
      <x:c r="L77" s="487" t="n"/>
      <x:c r="M77" s="487" t="n"/>
      <x:c r="N77" s="487" t="n"/>
      <x:c r="O77" s="487" t="n"/>
      <x:c r="P77" s="429" t="n"/>
      <x:c r="Q77" s="429" t="n"/>
      <x:c r="R77" s="429" t="n"/>
      <x:c r="S77" s="429" t="n"/>
      <x:c r="T77" s="429" t="n"/>
      <x:c r="U77" s="429" t="n"/>
      <x:c r="V77" s="429" t="n"/>
      <x:c r="W77" s="429" t="n"/>
    </x:row>
    <x:row r="78" s="204" customFormat="1" ht="19" customHeight="1">
      <x:c r="A78" s="508" t="n">
        <x:v>45809</x:v>
      </x:c>
      <x:c r="B78" s="509" t="n">
        <x:v>215248</x:v>
      </x:c>
      <x:c r="C78" s="510" t="n">
        <x:f>IF(OR(B78="",B66=""),"",B78/B66-1)</x:f>
        <x:v>0.011684417330162233</x:v>
      </x:c>
      <x:c r="D78" s="511" t="n">
        <x:v>16413.3</x:v>
      </x:c>
      <x:c r="E78" s="510" t="n">
        <x:f>IF(OR(D78="",D66=""),"",D78/D66-1)</x:f>
        <x:v>0.024998438768500497</x:v>
      </x:c>
      <x:c r="F78" s="511" t="n">
        <x:v>10836.2</x:v>
      </x:c>
      <x:c r="G78" s="510" t="n">
        <x:f>IF(OR(F78="",F66=""),"",F78/F66-1)</x:f>
        <x:v>0.023364309459051213</x:v>
      </x:c>
      <x:c r="H78" s="815" t="str">
        <x:v>2025-06</x:v>
      </x:c>
      <x:c r="I78" s="487" t="n"/>
      <x:c r="J78" s="487" t="n"/>
      <x:c r="K78" s="487" t="n"/>
      <x:c r="L78" s="487" t="n"/>
      <x:c r="M78" s="487" t="n"/>
      <x:c r="N78" s="487" t="n"/>
      <x:c r="O78" s="487" t="n"/>
      <x:c r="P78" s="429" t="n"/>
      <x:c r="Q78" s="429" t="n"/>
      <x:c r="R78" s="429" t="n"/>
      <x:c r="S78" s="429" t="n"/>
      <x:c r="T78" s="429" t="n"/>
      <x:c r="U78" s="429" t="n"/>
      <x:c r="V78" s="429" t="n"/>
      <x:c r="W78" s="429" t="n"/>
    </x:row>
    <x:row r="79" s="204" customFormat="1" ht="19" customHeight="1">
      <x:c r="A79" s="502" t="n">
        <x:v>45839</x:v>
      </x:c>
      <x:c r="B79" s="503" t="n">
        <x:v>216743</x:v>
      </x:c>
      <x:c r="C79" s="504" t="n">
        <x:f>IF(OR(B79="",B67=""),"",B79/B67-1)</x:f>
        <x:v>0.008871842373520344</x:v>
      </x:c>
      <x:c r="D79" s="505" t="n">
        <x:v>16491.2</x:v>
      </x:c>
      <x:c r="E79" s="504" t="n">
        <x:f>IF(OR(D79="",D67=""),"",D79/D67-1)</x:f>
        <x:v>0.026926046778090518</x:v>
      </x:c>
      <x:c r="F79" s="505" t="n">
        <x:v>10886.4</x:v>
      </x:c>
      <x:c r="G79" s="504" t="n">
        <x:f>IF(OR(F79="",F67=""),"",F79/F67-1)</x:f>
        <x:v>0.026670187483496033</x:v>
      </x:c>
      <x:c r="H79" s="815" t="str">
        <x:v>2025-07</x:v>
      </x:c>
      <x:c r="I79" s="487" t="n"/>
      <x:c r="J79" s="487" t="n"/>
      <x:c r="K79" s="487" t="n"/>
      <x:c r="L79" s="487" t="n"/>
      <x:c r="M79" s="487" t="n"/>
      <x:c r="N79" s="487" t="n"/>
      <x:c r="O79" s="487" t="n"/>
      <x:c r="P79" s="429" t="n"/>
      <x:c r="Q79" s="429" t="n"/>
      <x:c r="R79" s="429" t="n"/>
      <x:c r="S79" s="429" t="n"/>
      <x:c r="T79" s="429" t="n"/>
      <x:c r="U79" s="429" t="n"/>
      <x:c r="V79" s="429" t="n"/>
      <x:c r="W79" s="429" t="n"/>
    </x:row>
    <x:row r="80" s="204" customFormat="1" ht="19" customHeight="1">
      <x:c r="A80" s="508" t="n">
        <x:v>45870</x:v>
      </x:c>
      <x:c r="B80" s="509" t="n">
        <x:v>216649</x:v>
      </x:c>
      <x:c r="C80" s="510" t="n">
        <x:f>IF(OR(B80="",B68=""),"",B80/B68-1)</x:f>
        <x:v>0.014530827081752795</x:v>
      </x:c>
      <x:c r="D80" s="511" t="n">
        <x:v>16529.7</x:v>
      </x:c>
      <x:c r="E80" s="510" t="n">
        <x:f>IF(OR(D80="",D68=""),"",D80/D68-1)</x:f>
        <x:v>0.02851649514043597</x:v>
      </x:c>
      <x:c r="F80" s="511" t="n">
        <x:v>10905.4</x:v>
      </x:c>
      <x:c r="G80" s="510" t="n">
        <x:f>IF(OR(F80="",F68=""),"",F80/F68-1)</x:f>
        <x:v>0.025521910851984186</x:v>
      </x:c>
      <x:c r="H80" s="815" t="str">
        <x:v>2025-08</x:v>
      </x:c>
      <x:c r="I80" s="487" t="n"/>
      <x:c r="J80" s="487" t="n"/>
      <x:c r="K80" s="487" t="n"/>
      <x:c r="L80" s="487" t="n"/>
      <x:c r="M80" s="487" t="n"/>
      <x:c r="N80" s="487" t="n"/>
      <x:c r="O80" s="487" t="n"/>
      <x:c r="P80" s="429" t="n"/>
      <x:c r="Q80" s="429" t="n"/>
      <x:c r="R80" s="429" t="n"/>
      <x:c r="S80" s="429" t="n"/>
      <x:c r="T80" s="429" t="n"/>
      <x:c r="U80" s="429" t="n"/>
      <x:c r="V80" s="429" t="n"/>
      <x:c r="W80" s="429" t="n"/>
    </x:row>
    <x:row r="81" s="204" customFormat="1" ht="19" customHeight="1">
      <x:c r="A81" s="502" t="n">
        <x:v>45901</x:v>
      </x:c>
      <x:c r="B81" s="503" t="n">
        <x:v>216179</x:v>
      </x:c>
      <x:c r="C81" s="504" t="n">
        <x:f>IF(OR(B81="",B69=""),"",B81/B69-1)</x:f>
        <x:v>0.0064761532301618185</x:v>
      </x:c>
      <x:c r="D81" s="505" t="n">
        <x:v>16557.6</x:v>
      </x:c>
      <x:c r="E81" s="504" t="n">
        <x:f>IF(OR(D81="",D69=""),"",D81/D69-1)</x:f>
        <x:v>0.024274367159082377</x:v>
      </x:c>
      <x:c r="F81" s="505" t="n">
        <x:v>10940.4</x:v>
      </x:c>
      <x:c r="G81" s="504" t="n">
        <x:f>IF(OR(F81="",F69=""),"",F81/F69-1)</x:f>
        <x:v>0.02690119957198367</x:v>
      </x:c>
      <x:c r="H81" s="815" t="str">
        <x:v>2025-09</x:v>
      </x:c>
      <x:c r="I81" s="487" t="n"/>
      <x:c r="J81" s="487" t="n"/>
      <x:c r="K81" s="487" t="n"/>
      <x:c r="L81" s="487" t="n"/>
      <x:c r="M81" s="487" t="n"/>
      <x:c r="N81" s="487" t="n"/>
      <x:c r="O81" s="487" t="n"/>
      <x:c r="P81" s="429" t="n"/>
      <x:c r="Q81" s="429" t="n"/>
      <x:c r="R81" s="429" t="n"/>
      <x:c r="S81" s="429" t="n"/>
      <x:c r="T81" s="429" t="n"/>
      <x:c r="U81" s="429" t="n"/>
      <x:c r="V81" s="429" t="n"/>
      <x:c r="W81" s="429" t="n"/>
    </x:row>
    <x:row r="82" s="204" customFormat="1" ht="19" customHeight="1">
      <x:c r="A82" s="508" t="n">
        <x:v>45931</x:v>
      </x:c>
      <x:c r="B82" s="509" t="n"/>
      <x:c r="C82" s="510" t="str">
        <x:f>IF(OR(B82="",B70=""),"",B82/B70-1)</x:f>
      </x:c>
      <x:c r="D82" s="511" t="n">
        <x:v>16587.7</x:v>
      </x:c>
      <x:c r="E82" s="510" t="n">
        <x:f>IF(OR(D82="",D70=""),"",D82/D70-1)</x:f>
        <x:v>0.024874730461968086</x:v>
      </x:c>
      <x:c r="F82" s="511" t="n">
        <x:v>10964</x:v>
      </x:c>
      <x:c r="G82" s="510" t="n">
        <x:f>IF(OR(F82="",F70=""),"",F82/F70-1)</x:f>
        <x:v>0.02627465296303577</x:v>
      </x:c>
      <x:c r="H82" s="815" t="str">
        <x:v>2025-10</x:v>
      </x:c>
      <x:c r="I82" s="487" t="n"/>
      <x:c r="J82" s="487" t="n"/>
      <x:c r="K82" s="487" t="n"/>
      <x:c r="L82" s="487" t="n"/>
      <x:c r="M82" s="487" t="n"/>
      <x:c r="N82" s="487" t="n"/>
      <x:c r="O82" s="487" t="n"/>
      <x:c r="P82" s="429" t="n"/>
      <x:c r="Q82" s="429" t="n"/>
      <x:c r="R82" s="429" t="n"/>
      <x:c r="S82" s="429" t="n"/>
      <x:c r="T82" s="429" t="n"/>
      <x:c r="U82" s="429" t="n"/>
      <x:c r="V82" s="429" t="n"/>
      <x:c r="W82" s="429" t="n"/>
    </x:row>
    <x:row r="83" s="204" customFormat="1" ht="19" customHeight="1">
      <x:c r="A83" s="502" t="n">
        <x:v>45962</x:v>
      </x:c>
      <x:c r="B83" s="503" t="n">
        <x:v>217020</x:v>
      </x:c>
      <x:c r="C83" s="504" t="n">
        <x:f>IF(OR(B83="",B71=""),"",B83/B71-1)</x:f>
        <x:v>0.0017771828190273897</x:v>
      </x:c>
      <x:c r="D83" s="505" t="n">
        <x:v>16615.4</x:v>
      </x:c>
      <x:c r="E83" s="504" t="n">
        <x:f>IF(OR(D83="",D71=""),"",D83/D71-1)</x:f>
        <x:v>0.0227316094324177</x:v>
      </x:c>
      <x:c r="F83" s="505" t="n">
        <x:v>10974.1</x:v>
      </x:c>
      <x:c r="G83" s="504" t="n">
        <x:f>IF(OR(F83="",F71=""),"",F83/F71-1)</x:f>
        <x:v>0.02431488948626037</x:v>
      </x:c>
      <x:c r="H83" s="815" t="str">
        <x:v>2025-11</x:v>
      </x:c>
      <x:c r="I83" s="487" t="n"/>
      <x:c r="J83" s="487" t="n"/>
      <x:c r="K83" s="487" t="n"/>
      <x:c r="L83" s="487" t="n"/>
      <x:c r="M83" s="487" t="n"/>
      <x:c r="N83" s="487" t="n"/>
      <x:c r="O83" s="487" t="n"/>
      <x:c r="P83" s="429" t="n"/>
      <x:c r="Q83" s="429" t="n"/>
      <x:c r="R83" s="429" t="n"/>
      <x:c r="S83" s="429" t="n"/>
      <x:c r="T83" s="429" t="n"/>
      <x:c r="U83" s="429" t="n"/>
      <x:c r="V83" s="429" t="n"/>
      <x:c r="W83" s="429" t="n"/>
    </x:row>
    <x:row r="84" s="204" customFormat="1" ht="19" customHeight="1">
      <x:c r="A84" s="508" t="n">
        <x:v>45992</x:v>
      </x:c>
      <x:c r="B84" s="509" t="n">
        <x:v>216625</x:v>
      </x:c>
      <x:c r="C84" s="510" t="n">
        <x:f>IF(OR(B84="",B72=""),"",B84/B72-1)</x:f>
        <x:v>-0.00547248378225762</x:v>
      </x:c>
      <x:c r="D84" s="511" t="n">
        <x:v>16610.6</x:v>
      </x:c>
      <x:c r="E84" s="510" t="n">
        <x:f>IF(OR(D84="",D72=""),"",D84/D72-1)</x:f>
        <x:v>0.014691419111672932</x:v>
      </x:c>
      <x:c r="F84" s="511" t="n">
        <x:v>10981.8</x:v>
      </x:c>
      <x:c r="G84" s="510" t="n">
        <x:f>IF(OR(F84="",F72=""),"",F84/F72-1)</x:f>
        <x:v>0.020860059122092656</x:v>
      </x:c>
      <x:c r="H84" s="815" t="str">
        <x:v>2025-12</x:v>
      </x:c>
      <x:c r="I84" s="487" t="n"/>
      <x:c r="J84" s="487" t="n"/>
      <x:c r="K84" s="487" t="n"/>
      <x:c r="L84" s="487" t="n"/>
      <x:c r="M84" s="487" t="n"/>
      <x:c r="N84" s="487" t="n"/>
      <x:c r="O84" s="487" t="n"/>
      <x:c r="P84" s="429" t="n"/>
      <x:c r="Q84" s="429" t="n"/>
      <x:c r="R84" s="429" t="n"/>
      <x:c r="S84" s="429" t="n"/>
      <x:c r="T84" s="429" t="n"/>
      <x:c r="U84" s="429" t="n"/>
      <x:c r="V84" s="429" t="n"/>
      <x:c r="W84" s="429" t="n"/>
    </x:row>
    <x:row r="85" s="204" customFormat="1" ht="19" customHeight="1">
      <x:c r="A85" s="502" t="n">
        <x:v>46023</x:v>
      </x:c>
      <x:c r="B85" s="503" t="n">
        <x:v>214907</x:v>
      </x:c>
      <x:c r="C85" s="504" t="n">
        <x:f>IF(OR(B85="",B73=""),"",B85/B73-1)</x:f>
        <x:v>-0.002311924050045211</x:v>
      </x:c>
      <x:c r="D85" s="505" t="n">
        <x:v>16596.8</x:v>
      </x:c>
      <x:c r="E85" s="504" t="n">
        <x:f>IF(OR(D85="",D73=""),"",D85/D73-1)</x:f>
        <x:v>0.020318080940349148</x:v>
      </x:c>
      <x:c r="F85" s="505" t="n">
        <x:v>10991.4</x:v>
      </x:c>
      <x:c r="G85" s="504" t="n">
        <x:f>IF(OR(F85="",F73=""),"",F85/F73-1)</x:f>
        <x:v>0.021258803634809365</x:v>
      </x:c>
      <x:c r="H85" s="815" t="str">
        <x:v>2026-01</x:v>
      </x:c>
      <x:c r="I85" s="487" t="n"/>
      <x:c r="J85" s="487" t="n"/>
      <x:c r="K85" s="487" t="n"/>
      <x:c r="L85" s="487" t="n"/>
      <x:c r="M85" s="487" t="n"/>
      <x:c r="N85" s="487" t="n"/>
      <x:c r="O85" s="487" t="n"/>
      <x:c r="P85" s="429" t="n"/>
      <x:c r="Q85" s="429" t="n"/>
      <x:c r="R85" s="429" t="n"/>
      <x:c r="S85" s="429" t="n"/>
      <x:c r="T85" s="429" t="n"/>
      <x:c r="U85" s="429" t="n"/>
      <x:c r="V85" s="429" t="n"/>
      <x:c r="W85" s="429" t="n"/>
    </x:row>
    <x:row r="86" s="204" customFormat="1" ht="19" customHeight="1">
      <x:c r="A86" s="508" t="n">
        <x:v>46054</x:v>
      </x:c>
      <x:c r="B86" s="509" t="n">
        <x:v>216197</x:v>
      </x:c>
      <x:c r="C86" s="510" t="n">
        <x:f>IF(OR(B86="",B74=""),"",B86/B74-1)</x:f>
        <x:v>0.010771741010692226</x:v>
      </x:c>
      <x:c r="D86" s="511" t="n">
        <x:v>16631.3</x:v>
      </x:c>
      <x:c r="E86" s="510" t="n">
        <x:f>IF(OR(D86="",D74=""),"",D86/D74-1)</x:f>
        <x:v>0.023382744765034102</x:v>
      </x:c>
      <x:c r="F86" s="511" t="n">
        <x:v>10988.2</x:v>
      </x:c>
      <x:c r="G86" s="510" t="n">
        <x:f>IF(OR(F86="",F74=""),"",F86/F74-1)</x:f>
        <x:v>0.023929776170863226</x:v>
      </x:c>
      <x:c r="H86" s="815" t="str">
        <x:v>2026-02</x:v>
      </x:c>
      <x:c r="I86" s="487" t="n"/>
      <x:c r="J86" s="487" t="n"/>
      <x:c r="K86" s="487" t="n"/>
      <x:c r="L86" s="487" t="n"/>
      <x:c r="M86" s="487" t="n"/>
      <x:c r="N86" s="487" t="n"/>
      <x:c r="O86" s="487" t="n"/>
      <x:c r="P86" s="429" t="n"/>
      <x:c r="Q86" s="429" t="n"/>
      <x:c r="R86" s="429" t="n"/>
      <x:c r="S86" s="429" t="n"/>
      <x:c r="T86" s="429" t="n"/>
      <x:c r="U86" s="429" t="n"/>
      <x:c r="V86" s="429" t="n"/>
      <x:c r="W86" s="429" t="n"/>
    </x:row>
    <x:row r="87" s="204" customFormat="1" ht="19" customHeight="1">
      <x:c r="A87" s="502" t="n">
        <x:v>46082</x:v>
      </x:c>
      <x:c r="B87" s="503" t="n">
        <x:v>217897</x:v>
      </x:c>
      <x:c r="C87" s="504" t="n">
        <x:f>IF(OR(B87="",B75=""),"",B87/B75-1)</x:f>
        <x:v>0.002955052818117032</x:v>
      </x:c>
      <x:c r="D87" s="505" t="n">
        <x:v>16674.3</x:v>
      </x:c>
      <x:c r="E87" s="504" t="n">
        <x:f>IF(OR(D87="",D75=""),"",D87/D75-1)</x:f>
        <x:v>0.01906822390495222</x:v>
      </x:c>
      <x:c r="F87" s="505" t="n">
        <x:v>10996.2</x:v>
      </x:c>
      <x:c r="G87" s="504" t="n">
        <x:f>IF(OR(F87="",F75=""),"",F87/F75-1)</x:f>
        <x:v>0.020860604372650027</x:v>
      </x:c>
      <x:c r="H87" s="815" t="str">
        <x:v>2026-03</x:v>
      </x:c>
      <x:c r="I87" s="487" t="n"/>
      <x:c r="J87" s="487" t="n"/>
      <x:c r="K87" s="487" t="n"/>
      <x:c r="L87" s="487" t="n"/>
      <x:c r="M87" s="487" t="n"/>
      <x:c r="N87" s="487" t="n"/>
      <x:c r="O87" s="487" t="n"/>
      <x:c r="P87" s="429" t="n"/>
      <x:c r="Q87" s="429" t="n"/>
      <x:c r="R87" s="429" t="n"/>
      <x:c r="S87" s="429" t="n"/>
      <x:c r="T87" s="429" t="n"/>
      <x:c r="U87" s="429" t="n"/>
      <x:c r="V87" s="429" t="n"/>
      <x:c r="W87" s="429" t="n"/>
    </x:row>
    <x:row r="88" s="204" customFormat="1" ht="19" customHeight="1">
      <x:c r="A88" s="508" t="n">
        <x:v>46113</x:v>
      </x:c>
      <x:c r="B88" s="509" t="n">
        <x:v>217782</x:v>
      </x:c>
      <x:c r="C88" s="510" t="n">
        <x:f>IF(OR(B88="",B76=""),"",B88/B76-1)</x:f>
        <x:v>0.003012048192771122</x:v>
      </x:c>
      <x:c r="D88" s="511" t="n">
        <x:v>16727.4</x:v>
      </x:c>
      <x:c r="E88" s="510" t="n">
        <x:f>IF(OR(D88="",D76=""),"",D88/D76-1)</x:f>
        <x:v>0.021707793794283115</x:v>
      </x:c>
      <x:c r="F88" s="511" t="n">
        <x:v>11041.5</x:v>
      </x:c>
      <x:c r="G88" s="510" t="n">
        <x:f>IF(OR(F88="",F76=""),"",F88/F76-1)</x:f>
        <x:v>0.02422938137157593</x:v>
      </x:c>
      <x:c r="H88" s="815" t="str">
        <x:v>2026-04</x:v>
      </x:c>
      <x:c r="I88" s="487" t="n"/>
      <x:c r="J88" s="487" t="n"/>
      <x:c r="K88" s="487" t="n"/>
      <x:c r="L88" s="487" t="n"/>
      <x:c r="M88" s="487" t="n"/>
      <x:c r="N88" s="487" t="n"/>
      <x:c r="O88" s="487" t="n"/>
      <x:c r="P88" s="429" t="n"/>
      <x:c r="Q88" s="429" t="n"/>
      <x:c r="R88" s="429" t="n"/>
      <x:c r="S88" s="429" t="n"/>
      <x:c r="T88" s="429" t="n"/>
      <x:c r="U88" s="429" t="n"/>
      <x:c r="V88" s="429" t="n"/>
      <x:c r="W88" s="429" t="n"/>
    </x:row>
    <x:row r="89" s="204" customFormat="1" ht="19" customHeight="1">
      <x:c r="A89" s="502" t="n">
        <x:v>46143</x:v>
      </x:c>
      <x:c r="B89" s="503" t="n">
        <x:v>219000</x:v>
      </x:c>
      <x:c r="C89" s="504" t="n">
        <x:f>IF(OR(B89="",B77=""),"",B89/B77-1)</x:f>
        <x:v>0.024317005065457975</x:v>
      </x:c>
      <x:c r="D89" s="505" t="n">
        <x:v>16784.6</x:v>
      </x:c>
      <x:c r="E89" s="504" t="n">
        <x:f>IF(OR(D89="",D77=""),"",D89/D77-1)</x:f>
        <x:v>0.026606155502275186</x:v>
      </x:c>
      <x:c r="F89" s="505" t="n">
        <x:v>11088.6</x:v>
      </x:c>
      <x:c r="G89" s="504" t="n">
        <x:f>IF(OR(F89="",F77=""),"",F89/F77-1)</x:f>
        <x:v>0.026997990201072408</x:v>
      </x:c>
      <x:c r="H89" s="815" t="str">
        <x:v>2026-05</x:v>
      </x:c>
      <x:c r="I89" s="487" t="n"/>
      <x:c r="J89" s="487" t="n"/>
      <x:c r="K89" s="487" t="n"/>
      <x:c r="L89" s="487" t="n"/>
      <x:c r="M89" s="487" t="n"/>
      <x:c r="N89" s="487" t="n"/>
      <x:c r="O89" s="487" t="n"/>
      <x:c r="P89" s="429" t="n"/>
      <x:c r="Q89" s="429" t="n"/>
      <x:c r="R89" s="429" t="n"/>
      <x:c r="S89" s="429" t="n"/>
      <x:c r="T89" s="429" t="n"/>
      <x:c r="U89" s="429" t="n"/>
      <x:c r="V89" s="429" t="n"/>
      <x:c r="W89" s="429" t="n"/>
    </x:row>
    <x:row r="90" s="204" customFormat="1" ht="19" customHeight="1">
      <x:c r="A90" s="508" t="n">
        <x:v>46174</x:v>
      </x:c>
      <x:c r="B90" s="509" t="n">
        <x:v>220375</x:v>
      </x:c>
      <x:c r="C90" s="510" t="n">
        <x:f>IF(OR(B90="",B78=""),"",B90/B78-1)</x:f>
        <x:v>0.0238190366461013</x:v>
      </x:c>
      <x:c r="D90" s="511" t="n">
        <x:v>16854</x:v>
      </x:c>
      <x:c r="E90" s="510" t="n">
        <x:f>IF(OR(D90="",D78=""),"",D90/D78-1)</x:f>
        <x:v>0.026850176381349344</x:v>
      </x:c>
      <x:c r="F90" s="511" t="n">
        <x:v>11124.2</x:v>
      </x:c>
      <x:c r="G90" s="510" t="n">
        <x:f>IF(OR(F90="",F78=""),"",F90/F78-1)</x:f>
        <x:v>0.026577582547387513</x:v>
      </x:c>
      <x:c r="H90" s="815" t="str">
        <x:v>2026-06</x:v>
      </x:c>
      <x:c r="I90" s="487" t="n"/>
      <x:c r="J90" s="487" t="n"/>
      <x:c r="K90" s="487" t="n"/>
      <x:c r="L90" s="487" t="n"/>
      <x:c r="M90" s="487" t="n"/>
      <x:c r="N90" s="487" t="n"/>
      <x:c r="O90" s="487" t="n"/>
      <x:c r="P90" s="429" t="n"/>
      <x:c r="Q90" s="429" t="n"/>
      <x:c r="R90" s="429" t="n"/>
      <x:c r="S90" s="429" t="n"/>
      <x:c r="T90" s="429" t="n"/>
      <x:c r="U90" s="429" t="n"/>
      <x:c r="V90" s="429" t="n"/>
      <x:c r="W90" s="429" t="n"/>
    </x:row>
    <x:row r="91" s="204" customFormat="1" ht="19" customHeight="1">
      <x:c r="A91" s="502" t="n">
        <x:v>46204</x:v>
      </x:c>
      <x:c r="B91" s="503" t="n">
        <x:v>219317</x:v>
      </x:c>
      <x:c r="C91" s="504" t="n">
        <x:f>IF(OR(B91="",B79=""),"",B91/B79-1)</x:f>
        <x:v>0.011875816058650068</x:v>
      </x:c>
      <x:c r="D91" s="505" t="n">
        <x:v>16862.5</x:v>
      </x:c>
      <x:c r="E91" s="504" t="n">
        <x:f>IF(OR(D91="",D79=""),"",D91/D79-1)</x:f>
        <x:v>0.02251503832346935</x:v>
      </x:c>
      <x:c r="F91" s="505" t="n">
        <x:v>11155.6</x:v>
      </x:c>
      <x:c r="G91" s="504" t="n">
        <x:f>IF(OR(F91="",F79=""),"",F91/F79-1)</x:f>
        <x:v>0.024728101116989976</x:v>
      </x:c>
      <x:c r="H91" s="815" t="str">
        <x:v>2026-07</x:v>
      </x:c>
      <x:c r="I91" s="487" t="n"/>
      <x:c r="J91" s="487" t="n"/>
      <x:c r="K91" s="487" t="n"/>
      <x:c r="L91" s="487" t="n"/>
      <x:c r="M91" s="487" t="n"/>
      <x:c r="N91" s="487" t="n"/>
      <x:c r="O91" s="487" t="n"/>
      <x:c r="P91" s="429" t="n"/>
      <x:c r="Q91" s="429" t="n"/>
      <x:c r="R91" s="429" t="n"/>
      <x:c r="S91" s="429" t="n"/>
      <x:c r="T91" s="429" t="n"/>
      <x:c r="U91" s="429" t="n"/>
      <x:c r="V91" s="429" t="n"/>
      <x:c r="W91" s="429" t="n"/>
    </x:row>
    <x:row r="92" s="204" customFormat="1" ht="19" customHeight="1">
      <x:c r="A92" s="508" t="n">
        <x:v>46235</x:v>
      </x:c>
      <x:c r="B92" s="509" t="n">
        <x:v>221267</x:v>
      </x:c>
      <x:c r="C92" s="510" t="n">
        <x:f>IF(OR(B92="",B80=""),"",B92/B80-1)</x:f>
        <x:v>0.021315584193788206</x:v>
      </x:c>
      <x:c r="D92" s="511" t="n">
        <x:v>16955.3</x:v>
      </x:c>
      <x:c r="E92" s="510" t="n">
        <x:f>IF(OR(D92="",D80=""),"",D92/D80-1)</x:f>
        <x:v>0.02574759372523383</x:v>
      </x:c>
      <x:c r="F92" s="511" t="n">
        <x:v>11177.8</x:v>
      </x:c>
      <x:c r="G92" s="510" t="n">
        <x:f>IF(OR(F92="",F80=""),"",F92/F80-1)</x:f>
        <x:v>0.024978451042602767</x:v>
      </x:c>
      <x:c r="H92" s="815" t="str">
        <x:v>2026-08</x:v>
      </x:c>
      <x:c r="I92" s="487" t="n"/>
      <x:c r="J92" s="487" t="n"/>
      <x:c r="K92" s="487" t="n"/>
      <x:c r="L92" s="487" t="n"/>
      <x:c r="M92" s="487" t="n"/>
      <x:c r="N92" s="487" t="n"/>
      <x:c r="O92" s="487" t="n"/>
      <x:c r="P92" s="429" t="n"/>
      <x:c r="Q92" s="429" t="n"/>
      <x:c r="R92" s="429" t="n"/>
      <x:c r="S92" s="429" t="n"/>
      <x:c r="T92" s="429" t="n"/>
      <x:c r="U92" s="429" t="n"/>
      <x:c r="V92" s="429" t="n"/>
      <x:c r="W92" s="429" t="n"/>
    </x:row>
    <x:row r="93" s="204" customFormat="1" ht="19" customHeight="1">
      <x:c r="A93" s="502" t="n">
        <x:v>46266</x:v>
      </x:c>
      <x:c r="B93" s="503" t="n">
        <x:v>221536</x:v>
      </x:c>
      <x:c r="C93" s="504" t="n">
        <x:f>IF(OR(B93="",B81=""),"",B93/B81-1)</x:f>
        <x:v>0.024780390324684598</x:v>
      </x:c>
      <x:c r="D93" s="505" t="n"/>
      <x:c r="E93" s="504" t="str">
        <x:f>IF(OR(D93="",D81=""),"",D93/D81-1)</x:f>
      </x:c>
      <x:c r="F93" s="505" t="n"/>
      <x:c r="G93" s="504" t="str">
        <x:f>IF(OR(F93="",F81=""),"",F93/F81-1)</x:f>
      </x:c>
      <x:c r="H93" s="815" t="str">
        <x:v>2026-09</x:v>
      </x:c>
      <x:c r="I93" s="487" t="n"/>
      <x:c r="J93" s="487" t="n"/>
      <x:c r="K93" s="487" t="n"/>
      <x:c r="L93" s="487" t="n"/>
      <x:c r="M93" s="487" t="n"/>
      <x:c r="N93" s="487" t="n"/>
      <x:c r="O93" s="487" t="n"/>
      <x:c r="P93" s="429" t="n"/>
      <x:c r="Q93" s="429" t="n"/>
      <x:c r="R93" s="429" t="n"/>
      <x:c r="S93" s="429" t="n"/>
      <x:c r="T93" s="429" t="n"/>
      <x:c r="U93" s="429" t="n"/>
      <x:c r="V93" s="429" t="n"/>
      <x:c r="W93" s="429" t="n"/>
    </x:row>
    <x:row r="94">
      <x:c r="A94" s="487" t="n"/>
      <x:c r="B94" s="487" t="n"/>
      <x:c r="C94" s="487" t="n"/>
      <x:c r="D94" s="487" t="n"/>
      <x:c r="E94" s="487" t="n"/>
      <x:c r="F94" s="487" t="n"/>
      <x:c r="G94" s="487" t="n"/>
      <x:c r="H94" s="487" t="n"/>
      <x:c r="I94" s="487" t="n"/>
      <x:c r="J94" s="487" t="n"/>
      <x:c r="K94" s="487" t="n"/>
      <x:c r="L94" s="487" t="n"/>
      <x:c r="M94" s="487" t="n"/>
      <x:c r="N94" s="487" t="n"/>
      <x:c r="O94" s="487" t="n"/>
      <x:c r="P94" s="429" t="n"/>
      <x:c r="Q94" s="429" t="n"/>
      <x:c r="R94" s="429" t="n"/>
      <x:c r="S94" s="429" t="n"/>
      <x:c r="T94" s="429" t="n"/>
      <x:c r="U94" s="429" t="n"/>
      <x:c r="V94" s="429" t="n"/>
      <x:c r="W94" s="429" t="n"/>
    </x:row>
    <x:row r="95">
      <x:c r="A95" s="487" t="n"/>
      <x:c r="B95" s="487" t="n"/>
      <x:c r="C95" s="487" t="n"/>
      <x:c r="D95" s="487" t="n"/>
      <x:c r="E95" s="487" t="n"/>
      <x:c r="F95" s="487" t="n"/>
      <x:c r="G95" s="487" t="n"/>
      <x:c r="H95" s="487" t="n"/>
      <x:c r="I95" s="487" t="n"/>
      <x:c r="J95" s="487" t="n"/>
      <x:c r="K95" s="487" t="n"/>
      <x:c r="L95" s="487" t="n"/>
      <x:c r="M95" s="487" t="n"/>
      <x:c r="N95" s="487" t="n"/>
      <x:c r="O95" s="487" t="n"/>
      <x:c r="P95" s="429" t="n"/>
      <x:c r="Q95" s="429" t="n"/>
      <x:c r="R95" s="429" t="n"/>
      <x:c r="S95" s="429" t="n"/>
      <x:c r="T95" s="429" t="n"/>
      <x:c r="U95" s="429" t="n"/>
      <x:c r="V95" s="429" t="n"/>
      <x:c r="W95" s="429" t="n"/>
    </x:row>
    <x:row r="96" s="204" customFormat="1" ht="25" customHeight="1">
      <x:c r="A96" s="488" t="str">
        <x:v>Interpretation: Retail sales, total real PCE and services PCE are growing more slowly than during the 2021 reopening surge. YoY rates provide demand context; they cannot establish the causal size of oil-cost pass-through.</x:v>
      </x:c>
      <x:c r="B96" s="488" t="n"/>
      <x:c r="C96" s="488" t="n"/>
      <x:c r="D96" s="488" t="n"/>
      <x:c r="E96" s="488" t="n"/>
      <x:c r="F96" s="488" t="n"/>
      <x:c r="G96" s="488" t="n"/>
      <x:c r="H96" s="488" t="n"/>
      <x:c r="I96" s="488" t="n"/>
      <x:c r="J96" s="488" t="n"/>
      <x:c r="K96" s="487" t="n"/>
      <x:c r="L96" s="487" t="n"/>
      <x:c r="M96" s="487" t="n"/>
      <x:c r="N96" s="487" t="n"/>
      <x:c r="O96" s="487" t="n"/>
      <x:c r="Q96" s="429" t="n"/>
      <x:c r="R96" s="429" t="n"/>
      <x:c r="S96" s="429" t="n"/>
      <x:c r="T96" s="429" t="n"/>
      <x:c r="U96" s="429" t="n"/>
      <x:c r="V96" s="429" t="n"/>
      <x:c r="W96" s="429" t="n"/>
    </x:row>
    <x:row r="97" s="204" customFormat="1" ht="25" customHeight="1">
      <x:c r="A97" s="488" t="n"/>
      <x:c r="B97" s="488" t="n"/>
      <x:c r="C97" s="488" t="n"/>
      <x:c r="D97" s="488" t="n"/>
      <x:c r="E97" s="488" t="n"/>
      <x:c r="F97" s="488" t="n"/>
      <x:c r="G97" s="488" t="n"/>
      <x:c r="H97" s="488" t="n"/>
      <x:c r="I97" s="488" t="n"/>
      <x:c r="J97" s="488" t="n"/>
      <x:c r="K97" s="487" t="n"/>
      <x:c r="L97" s="487" t="n"/>
      <x:c r="M97" s="487" t="n"/>
      <x:c r="N97" s="487" t="n"/>
      <x:c r="O97" s="487" t="n"/>
      <x:c r="Q97" s="429" t="n"/>
      <x:c r="R97" s="429" t="n"/>
      <x:c r="S97" s="429" t="n"/>
      <x:c r="T97" s="429" t="n"/>
      <x:c r="U97" s="429" t="n"/>
      <x:c r="V97" s="429" t="n"/>
      <x:c r="W97" s="429" t="n"/>
    </x:row>
    <x:row r="98" s="204" customFormat="1" ht="25" customHeight="1">
      <x:c r="A98" s="488" t="n"/>
      <x:c r="B98" s="488" t="n"/>
      <x:c r="C98" s="488" t="n"/>
      <x:c r="D98" s="488" t="n"/>
      <x:c r="E98" s="488" t="n"/>
      <x:c r="F98" s="488" t="n"/>
      <x:c r="G98" s="488" t="n"/>
      <x:c r="H98" s="488" t="n"/>
      <x:c r="I98" s="488" t="n"/>
      <x:c r="J98" s="488" t="n"/>
      <x:c r="K98" s="487" t="n"/>
      <x:c r="L98" s="487" t="n"/>
      <x:c r="M98" s="487" t="n"/>
      <x:c r="N98" s="487" t="n"/>
      <x:c r="O98" s="487" t="n"/>
      <x:c r="Q98" s="429" t="n"/>
      <x:c r="R98" s="429" t="n"/>
      <x:c r="S98" s="429" t="n"/>
      <x:c r="T98" s="429" t="n"/>
      <x:c r="U98" s="429" t="n"/>
      <x:c r="V98" s="429" t="n"/>
      <x:c r="W98" s="429" t="n"/>
    </x:row>
    <x:row r="99">
      <x:c r="A99" s="487" t="n"/>
      <x:c r="B99" s="487" t="n"/>
      <x:c r="C99" s="487" t="n"/>
      <x:c r="D99" s="487" t="n"/>
      <x:c r="E99" s="487" t="n"/>
      <x:c r="F99" s="487" t="n"/>
      <x:c r="G99" s="487" t="n"/>
      <x:c r="H99" s="487" t="n"/>
      <x:c r="I99" s="487" t="n"/>
      <x:c r="J99" s="487" t="n"/>
      <x:c r="K99" s="487" t="n"/>
      <x:c r="L99" s="487" t="n"/>
      <x:c r="M99" s="487" t="n"/>
      <x:c r="N99" s="487" t="n"/>
      <x:c r="O99" s="487" t="n"/>
      <x:c r="P99" s="429" t="n"/>
      <x:c r="Q99" s="429" t="n"/>
      <x:c r="R99" s="429" t="n"/>
      <x:c r="S99" s="429" t="n"/>
      <x:c r="T99" s="429" t="n"/>
      <x:c r="U99" s="429" t="n"/>
      <x:c r="V99" s="429" t="n"/>
      <x:c r="W99" s="429" t="n"/>
    </x:row>
    <x:row r="100">
      <x:c r="A100" s="487" t="n"/>
      <x:c r="B100" s="487" t="n"/>
      <x:c r="C100" s="487" t="n"/>
      <x:c r="D100" s="487" t="n"/>
      <x:c r="E100" s="487" t="n"/>
      <x:c r="F100" s="487" t="n"/>
      <x:c r="G100" s="487" t="n"/>
      <x:c r="H100" s="487" t="n"/>
      <x:c r="I100" s="487" t="n"/>
      <x:c r="J100" s="487" t="n"/>
      <x:c r="K100" s="487" t="n"/>
      <x:c r="L100" s="487" t="n"/>
      <x:c r="M100" s="487" t="n"/>
      <x:c r="N100" s="487" t="n"/>
      <x:c r="O100" s="487" t="n"/>
      <x:c r="P100" s="429" t="n"/>
      <x:c r="Q100" s="429" t="n"/>
      <x:c r="R100" s="429" t="n"/>
      <x:c r="S100" s="429" t="n"/>
      <x:c r="T100" s="429" t="n"/>
      <x:c r="U100" s="429" t="n"/>
      <x:c r="V100" s="429" t="n"/>
      <x:c r="W100" s="429" t="n"/>
    </x:row>
    <x:row r="101">
      <x:c r="A101" s="487" t="n"/>
      <x:c r="B101" s="487" t="n"/>
      <x:c r="C101" s="487" t="n"/>
      <x:c r="D101" s="487" t="n"/>
      <x:c r="E101" s="487" t="n"/>
      <x:c r="F101" s="487" t="n"/>
      <x:c r="G101" s="487" t="n"/>
      <x:c r="H101" s="487" t="n"/>
      <x:c r="I101" s="487" t="n"/>
      <x:c r="J101" s="487" t="n"/>
      <x:c r="K101" s="487" t="n"/>
      <x:c r="L101" s="487" t="n"/>
      <x:c r="M101" s="487" t="n"/>
      <x:c r="N101" s="487" t="n"/>
      <x:c r="O101" s="487" t="n"/>
      <x:c r="P101" s="429" t="n"/>
      <x:c r="Q101" s="429" t="n"/>
      <x:c r="R101" s="429" t="n"/>
      <x:c r="S101" s="429" t="n"/>
      <x:c r="T101" s="429" t="n"/>
      <x:c r="U101" s="429" t="n"/>
      <x:c r="V101" s="429" t="n"/>
      <x:c r="W101" s="429" t="n"/>
    </x:row>
    <x:row r="102">
      <x:c r="A102" s="487" t="n"/>
      <x:c r="B102" s="487" t="n"/>
      <x:c r="C102" s="487" t="n"/>
      <x:c r="D102" s="487" t="n"/>
      <x:c r="E102" s="487" t="n"/>
      <x:c r="F102" s="487" t="n"/>
      <x:c r="G102" s="487" t="n"/>
      <x:c r="H102" s="487" t="n"/>
      <x:c r="I102" s="487" t="n"/>
      <x:c r="J102" s="487" t="n"/>
      <x:c r="K102" s="487" t="n"/>
      <x:c r="L102" s="487" t="n"/>
      <x:c r="M102" s="487" t="n"/>
      <x:c r="N102" s="487" t="n"/>
      <x:c r="O102" s="487" t="n"/>
      <x:c r="P102" s="429" t="n"/>
      <x:c r="Q102" s="429" t="n"/>
      <x:c r="R102" s="429" t="n"/>
      <x:c r="S102" s="429" t="n"/>
      <x:c r="T102" s="429" t="n"/>
      <x:c r="U102" s="429" t="n"/>
      <x:c r="V102" s="429" t="n"/>
      <x:c r="W102" s="429" t="n"/>
    </x:row>
    <x:row r="103">
      <x:c r="A103" s="487" t="n"/>
      <x:c r="B103" s="487" t="n"/>
      <x:c r="C103" s="487" t="n"/>
      <x:c r="D103" s="487" t="n"/>
      <x:c r="E103" s="487" t="n"/>
      <x:c r="F103" s="487" t="n"/>
      <x:c r="G103" s="487" t="n"/>
      <x:c r="H103" s="487" t="n"/>
      <x:c r="I103" s="487" t="n"/>
      <x:c r="J103" s="487" t="n"/>
      <x:c r="K103" s="487" t="n"/>
      <x:c r="L103" s="487" t="n"/>
      <x:c r="M103" s="487" t="n"/>
      <x:c r="N103" s="487" t="n"/>
      <x:c r="O103" s="487" t="n"/>
      <x:c r="P103" s="429" t="n"/>
      <x:c r="Q103" s="429" t="n"/>
      <x:c r="R103" s="429" t="n"/>
      <x:c r="S103" s="429" t="n"/>
      <x:c r="T103" s="429" t="n"/>
      <x:c r="U103" s="429" t="n"/>
      <x:c r="V103" s="429" t="n"/>
      <x:c r="W103" s="429" t="n"/>
    </x:row>
    <x:row r="104">
      <x:c r="A104" s="487" t="n"/>
      <x:c r="B104" s="487" t="n"/>
      <x:c r="C104" s="487" t="n"/>
      <x:c r="D104" s="487" t="n"/>
      <x:c r="E104" s="487" t="n"/>
      <x:c r="F104" s="487" t="n"/>
      <x:c r="G104" s="487" t="n"/>
      <x:c r="H104" s="487" t="n"/>
      <x:c r="I104" s="487" t="n"/>
      <x:c r="J104" s="487" t="n"/>
      <x:c r="K104" s="487" t="n"/>
      <x:c r="L104" s="487" t="n"/>
      <x:c r="M104" s="487" t="n"/>
      <x:c r="N104" s="487" t="n"/>
      <x:c r="O104" s="487" t="n"/>
    </x:row>
    <x:row r="105">
      <x:c r="A105" s="487" t="n"/>
      <x:c r="B105" s="487" t="n"/>
      <x:c r="C105" s="487" t="n"/>
      <x:c r="D105" s="487" t="n"/>
      <x:c r="E105" s="487" t="n"/>
      <x:c r="F105" s="487" t="n"/>
      <x:c r="G105" s="487" t="n"/>
      <x:c r="H105" s="487" t="n"/>
      <x:c r="I105" s="487" t="n"/>
      <x:c r="J105" s="487" t="n"/>
      <x:c r="K105" s="487" t="n"/>
      <x:c r="L105" s="487" t="n"/>
      <x:c r="M105" s="487" t="n"/>
      <x:c r="N105" s="487" t="n"/>
      <x:c r="O105" s="487" t="n"/>
    </x:row>
    <x:row r="106">
      <x:c r="A106" s="487" t="n"/>
      <x:c r="B106" s="487" t="n"/>
      <x:c r="C106" s="487" t="n"/>
      <x:c r="D106" s="487" t="n"/>
      <x:c r="E106" s="487" t="n"/>
      <x:c r="F106" s="487" t="n"/>
      <x:c r="G106" s="487" t="n"/>
      <x:c r="H106" s="487" t="n"/>
      <x:c r="I106" s="487" t="n"/>
      <x:c r="J106" s="487" t="n"/>
      <x:c r="K106" s="487" t="n"/>
      <x:c r="L106" s="487" t="n"/>
      <x:c r="M106" s="487" t="n"/>
      <x:c r="N106" s="487" t="n"/>
      <x:c r="O106" s="487" t="n"/>
    </x:row>
    <x:row r="107">
      <x:c r="A107" s="487" t="n"/>
      <x:c r="B107" s="487" t="n"/>
      <x:c r="C107" s="487" t="n"/>
      <x:c r="D107" s="487" t="n"/>
      <x:c r="E107" s="487" t="n"/>
      <x:c r="F107" s="487" t="n"/>
      <x:c r="G107" s="487" t="n"/>
      <x:c r="H107" s="487" t="n"/>
      <x:c r="I107" s="487" t="n"/>
      <x:c r="J107" s="487" t="n"/>
      <x:c r="K107" s="487" t="n"/>
      <x:c r="L107" s="487" t="n"/>
      <x:c r="M107" s="487" t="n"/>
      <x:c r="N107" s="487" t="n"/>
      <x:c r="O107" s="487" t="n"/>
    </x:row>
    <x:row r="108">
      <x:c r="A108" s="487" t="n"/>
      <x:c r="B108" s="487" t="n"/>
      <x:c r="C108" s="487" t="n"/>
      <x:c r="D108" s="487" t="n"/>
      <x:c r="E108" s="487" t="n"/>
      <x:c r="F108" s="487" t="n"/>
      <x:c r="G108" s="487" t="n"/>
      <x:c r="H108" s="487" t="n"/>
      <x:c r="I108" s="487" t="n"/>
      <x:c r="J108" s="487" t="n"/>
      <x:c r="K108" s="487" t="n"/>
      <x:c r="L108" s="487" t="n"/>
      <x:c r="M108" s="487" t="n"/>
      <x:c r="N108" s="487" t="n"/>
      <x:c r="O108" s="487" t="n"/>
    </x:row>
    <x:row r="109">
      <x:c r="A109" s="487" t="n"/>
      <x:c r="B109" s="487" t="n"/>
      <x:c r="C109" s="487" t="n"/>
      <x:c r="D109" s="487" t="n"/>
      <x:c r="E109" s="487" t="n"/>
      <x:c r="F109" s="487" t="n"/>
      <x:c r="G109" s="487" t="n"/>
      <x:c r="H109" s="487" t="n"/>
      <x:c r="I109" s="487" t="n"/>
      <x:c r="J109" s="487" t="n"/>
      <x:c r="K109" s="487" t="n"/>
      <x:c r="L109" s="487" t="n"/>
      <x:c r="M109" s="487" t="n"/>
      <x:c r="N109" s="487" t="n"/>
      <x:c r="O109" s="487" t="n"/>
    </x:row>
    <x:row r="110">
      <x:c r="A110" s="487" t="n"/>
      <x:c r="B110" s="487" t="n"/>
      <x:c r="C110" s="487" t="n"/>
      <x:c r="D110" s="487" t="n"/>
      <x:c r="E110" s="487" t="n"/>
      <x:c r="F110" s="487" t="n"/>
      <x:c r="G110" s="487" t="n"/>
      <x:c r="H110" s="487" t="n"/>
      <x:c r="I110" s="487" t="n"/>
      <x:c r="J110" s="487" t="n"/>
      <x:c r="K110" s="487" t="n"/>
      <x:c r="L110" s="487" t="n"/>
      <x:c r="M110" s="487" t="n"/>
      <x:c r="N110" s="487" t="n"/>
      <x:c r="O110" s="487" t="n"/>
    </x:row>
    <x:row r="111">
      <x:c r="A111" s="487" t="n"/>
      <x:c r="B111" s="487" t="n"/>
      <x:c r="C111" s="487" t="n"/>
      <x:c r="D111" s="487" t="n"/>
      <x:c r="E111" s="487" t="n"/>
      <x:c r="F111" s="487" t="n"/>
      <x:c r="G111" s="487" t="n"/>
      <x:c r="H111" s="487" t="n"/>
      <x:c r="I111" s="487" t="n"/>
      <x:c r="J111" s="487" t="n"/>
      <x:c r="K111" s="487" t="n"/>
      <x:c r="L111" s="487" t="n"/>
      <x:c r="M111" s="487" t="n"/>
      <x:c r="N111" s="487" t="n"/>
      <x:c r="O111" s="487" t="n"/>
    </x:row>
    <x:row r="112">
      <x:c r="A112" s="487" t="n"/>
      <x:c r="B112" s="487" t="n"/>
      <x:c r="C112" s="487" t="n"/>
      <x:c r="D112" s="487" t="n"/>
      <x:c r="E112" s="487" t="n"/>
      <x:c r="F112" s="487" t="n"/>
      <x:c r="G112" s="487" t="n"/>
      <x:c r="H112" s="487" t="n"/>
      <x:c r="I112" s="487" t="n"/>
      <x:c r="J112" s="487" t="n"/>
      <x:c r="K112" s="487" t="n"/>
      <x:c r="L112" s="487" t="n"/>
      <x:c r="M112" s="487" t="n"/>
      <x:c r="N112" s="487" t="n"/>
      <x:c r="O112" s="487" t="n"/>
    </x:row>
    <x:row r="113">
      <x:c r="A113" s="487" t="n"/>
      <x:c r="B113" s="487" t="n"/>
      <x:c r="C113" s="487" t="n"/>
      <x:c r="D113" s="487" t="n"/>
      <x:c r="E113" s="487" t="n"/>
      <x:c r="F113" s="487" t="n"/>
      <x:c r="G113" s="487" t="n"/>
      <x:c r="H113" s="487" t="n"/>
      <x:c r="I113" s="487" t="n"/>
      <x:c r="J113" s="487" t="n"/>
      <x:c r="K113" s="487" t="n"/>
      <x:c r="L113" s="487" t="n"/>
      <x:c r="M113" s="487" t="n"/>
      <x:c r="N113" s="487" t="n"/>
      <x:c r="O113" s="487" t="n"/>
    </x:row>
    <x:row r="114">
      <x:c r="A114" s="487" t="n"/>
      <x:c r="B114" s="487" t="n"/>
      <x:c r="C114" s="487" t="n"/>
      <x:c r="D114" s="487" t="n"/>
      <x:c r="E114" s="487" t="n"/>
      <x:c r="F114" s="487" t="n"/>
      <x:c r="G114" s="487" t="n"/>
      <x:c r="H114" s="487" t="n"/>
      <x:c r="I114" s="487" t="n"/>
      <x:c r="J114" s="487" t="n"/>
      <x:c r="K114" s="487" t="n"/>
      <x:c r="L114" s="487" t="n"/>
      <x:c r="M114" s="487" t="n"/>
      <x:c r="N114" s="487" t="n"/>
      <x:c r="O114" s="487" t="n"/>
    </x:row>
    <x:row r="115">
      <x:c r="A115" s="487" t="n"/>
      <x:c r="B115" s="487" t="n"/>
      <x:c r="C115" s="487" t="n"/>
      <x:c r="D115" s="487" t="n"/>
      <x:c r="E115" s="487" t="n"/>
      <x:c r="F115" s="487" t="n"/>
      <x:c r="G115" s="487" t="n"/>
      <x:c r="H115" s="487" t="n"/>
      <x:c r="I115" s="487" t="n"/>
      <x:c r="J115" s="487" t="n"/>
      <x:c r="K115" s="487" t="n"/>
      <x:c r="L115" s="487" t="n"/>
      <x:c r="M115" s="487" t="n"/>
      <x:c r="N115" s="487" t="n"/>
      <x:c r="O115" s="487" t="n"/>
    </x:row>
    <x:row r="116">
      <x:c r="A116" s="487" t="n"/>
      <x:c r="B116" s="487" t="n"/>
      <x:c r="C116" s="487" t="n"/>
      <x:c r="D116" s="487" t="n"/>
      <x:c r="E116" s="487" t="n"/>
      <x:c r="F116" s="487" t="n"/>
      <x:c r="G116" s="487" t="n"/>
      <x:c r="H116" s="487" t="n"/>
      <x:c r="I116" s="487" t="n"/>
      <x:c r="J116" s="487" t="n"/>
      <x:c r="K116" s="487" t="n"/>
      <x:c r="L116" s="487" t="n"/>
      <x:c r="M116" s="487" t="n"/>
      <x:c r="N116" s="487" t="n"/>
      <x:c r="O116" s="487" t="n"/>
    </x:row>
    <x:row r="117">
      <x:c r="A117" s="487" t="n"/>
      <x:c r="B117" s="487" t="n"/>
      <x:c r="C117" s="487" t="n"/>
      <x:c r="D117" s="487" t="n"/>
      <x:c r="E117" s="487" t="n"/>
      <x:c r="F117" s="487" t="n"/>
      <x:c r="G117" s="487" t="n"/>
      <x:c r="H117" s="487" t="n"/>
      <x:c r="I117" s="487" t="n"/>
      <x:c r="J117" s="487" t="n"/>
      <x:c r="K117" s="487" t="n"/>
      <x:c r="L117" s="487" t="n"/>
      <x:c r="M117" s="487" t="n"/>
      <x:c r="N117" s="487" t="n"/>
      <x:c r="O117" s="487" t="n"/>
    </x:row>
    <x:row r="118">
      <x:c r="A118" s="487" t="n"/>
      <x:c r="B118" s="487" t="n"/>
      <x:c r="C118" s="487" t="n"/>
      <x:c r="D118" s="487" t="n"/>
      <x:c r="E118" s="487" t="n"/>
      <x:c r="F118" s="487" t="n"/>
      <x:c r="G118" s="487" t="n"/>
      <x:c r="H118" s="487" t="n"/>
      <x:c r="I118" s="487" t="n"/>
      <x:c r="J118" s="487" t="n"/>
      <x:c r="K118" s="487" t="n"/>
      <x:c r="L118" s="487" t="n"/>
      <x:c r="M118" s="487" t="n"/>
      <x:c r="N118" s="487" t="n"/>
      <x:c r="O118" s="487" t="n"/>
    </x:row>
    <x:row r="119">
      <x:c r="A119" s="487" t="n"/>
      <x:c r="B119" s="487" t="n"/>
      <x:c r="C119" s="487" t="n"/>
      <x:c r="D119" s="487" t="n"/>
      <x:c r="E119" s="487" t="n"/>
      <x:c r="F119" s="487" t="n"/>
      <x:c r="G119" s="487" t="n"/>
      <x:c r="H119" s="487" t="n"/>
      <x:c r="I119" s="487" t="n"/>
      <x:c r="J119" s="487" t="n"/>
      <x:c r="K119" s="487" t="n"/>
      <x:c r="L119" s="487" t="n"/>
      <x:c r="M119" s="487" t="n"/>
      <x:c r="N119" s="487" t="n"/>
      <x:c r="O119" s="487" t="n"/>
    </x:row>
    <x:row r="120">
      <x:c r="A120" s="487" t="n"/>
      <x:c r="B120" s="487" t="n"/>
      <x:c r="C120" s="487" t="n"/>
      <x:c r="D120" s="487" t="n"/>
      <x:c r="E120" s="487" t="n"/>
      <x:c r="F120" s="487" t="n"/>
      <x:c r="G120" s="487" t="n"/>
      <x:c r="H120" s="487" t="n"/>
      <x:c r="I120" s="487" t="n"/>
      <x:c r="J120" s="487" t="n"/>
      <x:c r="K120" s="487" t="n"/>
      <x:c r="L120" s="487" t="n"/>
      <x:c r="M120" s="487" t="n"/>
      <x:c r="N120" s="487" t="n"/>
      <x:c r="O120" s="487" t="n"/>
    </x:row>
  </x:sheetData>
  <x:mergeCells>
    <x:mergeCell ref="A1:J1"/>
    <x:mergeCell ref="A5:F5"/>
    <x:mergeCell ref="A3:J3"/>
    <x:mergeCell ref="A96:J98"/>
    <x:mergeCell ref="A11:J11"/>
  </x:mergeCells>
  <x:pageMargins left="0.7" right="0.7" top="0.75" bottom="0.75" header="0.3" footer="0.3"/>
  <x:drawing xmlns:r="http://schemas.openxmlformats.org/officeDocument/2006/relationships" r:id="R05aaa357caf24187"/>
</x:worksheet>
</file>

<file path=xl/worksheets/sheet7.xml><?xml version="1.0" encoding="utf-8"?>
<x:worksheet xmlns:x="http://schemas.openxmlformats.org/spreadsheetml/2006/main">
  <x:sheetFormatPr baseColWidth="8" defaultRowHeight="15"/>
  <x:cols>
    <x:col min="1" max="1" width="15" style="204" customWidth="1"/>
    <x:col min="2" max="2" width="19" style="204" customWidth="1"/>
    <x:col min="3" max="3" width="38" style="204" customWidth="1"/>
    <x:col min="4" max="4" width="20" style="204" customWidth="1"/>
    <x:col min="5" max="5" width="39" style="204" customWidth="1"/>
    <x:col min="6" max="6" width="32" style="204" customWidth="1"/>
  </x:cols>
  <x:sheetData>
    <x:row r="1" s="204" customFormat="1" ht="24" customHeight="1">
      <x:c r="A1" s="7" t="inlineStr">
        <x:is>
          <x:t xml:space="preserve">06 | DATA INVENTORY (NO LINKS)</x:t>
        </x:is>
      </x:c>
      <x:c r="B1" s="1" t="n"/>
      <x:c r="C1" s="1" t="n"/>
      <x:c r="D1" s="1" t="n"/>
      <x:c r="E1" s="1" t="n"/>
      <x:c r="F1" s="1" t="n"/>
    </x:row>
    <x:row r="2" s="204" customFormat="1" ht="24" customHeight="1">
      <x:c r="A2" s="1" t="n"/>
      <x:c r="B2" s="1" t="n"/>
      <x:c r="C2" s="1" t="n"/>
      <x:c r="D2" s="1" t="n"/>
      <x:c r="E2" s="1" t="n"/>
      <x:c r="F2" s="1" t="n"/>
    </x:row>
    <x:row r="3" s="204" customFormat="1" ht="30" customHeight="1">
      <x:c r="A3" s="15" t="inlineStr">
        <x:is>
          <x:t xml:space="preserve">Download links, click-by-click instructions and raw source notes are intentionally outside Excel — see README.md.</x:t>
        </x:is>
      </x:c>
      <x:c r="B3" s="1" t="n"/>
      <x:c r="C3" s="1" t="n"/>
      <x:c r="D3" s="1" t="n"/>
      <x:c r="E3" s="1" t="n"/>
      <x:c r="F3" s="1" t="n"/>
    </x:row>
    <x:row r="7" s="204" customFormat="1" ht="42" customHeight="1">
      <x:c r="A7" s="218" t="inlineStr">
        <x:is>
          <x:t xml:space="preserve">Used on Tab</x:t>
        </x:is>
      </x:c>
      <x:c r="B7" s="218" t="inlineStr">
        <x:is>
          <x:t xml:space="preserve">Institution</x:t>
        </x:is>
      </x:c>
      <x:c r="C7" s="218" t="inlineStr">
        <x:is>
          <x:t xml:space="preserve">Series / table name</x:t>
        </x:is>
      </x:c>
      <x:c r="D7" s="218" t="inlineStr">
        <x:is>
          <x:t xml:space="preserve">Dataset code</x:t>
        </x:is>
      </x:c>
      <x:c r="E7" s="218" t="inlineStr">
        <x:is>
          <x:t xml:space="preserve">Raw columns used</x:t>
        </x:is>
      </x:c>
      <x:c r="F7" s="218" t="inlineStr">
        <x:is>
          <x:t xml:space="preserve">Frequency / units</x:t>
        </x:is>
      </x:c>
    </x:row>
    <x:row r="8">
      <x:c r="A8" t="inlineStr">
        <x:is>
          <x:t xml:space="preserve">01</x:t>
        </x:is>
      </x:c>
      <x:c r="B8" t="inlineStr">
        <x:is>
          <x:t xml:space="preserve">EIA</x:t>
        </x:is>
      </x:c>
      <x:c r="C8" t="inlineStr">
        <x:is>
          <x:t xml:space="preserve">Monthly Energy Review — Table 1.7</x:t>
        </x:is>
      </x:c>
      <x:c r="D8" s="225" t="inlineStr">
        <x:is>
          <x:t xml:space="preserve">T01.07</x:t>
        </x:is>
      </x:c>
      <x:c r="E8" t="inlineStr">
        <x:is>
          <x:t xml:space="preserve">Primary Energy + Published Intensity</x:t>
        </x:is>
      </x:c>
      <x:c r="F8" t="inlineStr">
        <x:is>
          <x:t xml:space="preserve">Annual; quads / 000 Btu per USD</x:t>
        </x:is>
      </x:c>
    </x:row>
    <x:row r="9">
      <x:c r="A9" t="inlineStr">
        <x:is>
          <x:t xml:space="preserve">01 / 02</x:t>
        </x:is>
      </x:c>
      <x:c r="B9" t="inlineStr">
        <x:is>
          <x:t xml:space="preserve">BEA via FRED</x:t>
        </x:is>
      </x:c>
      <x:c r="C9" t="inlineStr">
        <x:is>
          <x:t xml:space="preserve">Real Gross Domestic Product</x:t>
        </x:is>
      </x:c>
      <x:c r="D9" s="225" t="inlineStr">
        <x:is>
          <x:t xml:space="preserve">GDPCA</x:t>
        </x:is>
      </x:c>
      <x:c r="E9" t="inlineStr">
        <x:is>
          <x:t xml:space="preserve">Year, real GDP</x:t>
        </x:is>
      </x:c>
      <x:c r="F9" t="inlineStr">
        <x:is>
          <x:t xml:space="preserve">Annual; $bn chained 2017</x:t>
        </x:is>
      </x:c>
    </x:row>
    <x:row r="10">
      <x:c r="A10" t="inlineStr">
        <x:is>
          <x:t xml:space="preserve">02</x:t>
        </x:is>
      </x:c>
      <x:c r="B10" t="inlineStr">
        <x:is>
          <x:t xml:space="preserve">EIA</x:t>
        </x:is>
      </x:c>
      <x:c r="C10" t="inlineStr">
        <x:is>
          <x:t xml:space="preserve">Monthly Energy Review — Table 3.1</x:t>
        </x:is>
      </x:c>
      <x:c r="D10" s="225" t="inlineStr">
        <x:is>
          <x:t xml:space="preserve">T03.01</x:t>
        </x:is>
      </x:c>
      <x:c r="E10" t="inlineStr">
        <x:is>
          <x:t xml:space="preserve">Petroleum Products Supplied</x:t>
        </x:is>
      </x:c>
      <x:c r="F10" t="inlineStr">
        <x:is>
          <x:t xml:space="preserve">Annual; thousand barrels/day</x:t>
        </x:is>
      </x:c>
    </x:row>
    <x:row r="11">
      <x:c r="A11" t="inlineStr">
        <x:is>
          <x:t xml:space="preserve">03</x:t>
        </x:is>
      </x:c>
      <x:c r="B11" t="inlineStr">
        <x:is>
          <x:t xml:space="preserve">BEA via FRED</x:t>
        </x:is>
      </x:c>
      <x:c r="C11" t="inlineStr">
        <x:is>
          <x:t xml:space="preserve">Gasoline and other energy goods spending</x:t>
        </x:is>
      </x:c>
      <x:c r="D11" s="225" t="inlineStr">
        <x:is>
          <x:t xml:space="preserve">DGOERC1A027NBEA</x:t>
        </x:is>
      </x:c>
      <x:c r="E11" t="inlineStr">
        <x:is>
          <x:t xml:space="preserve">Year, nominal energy goods spending</x:t>
        </x:is>
      </x:c>
      <x:c r="F11" t="inlineStr">
        <x:is>
          <x:t xml:space="preserve">Annual; $bn nominal</x:t>
        </x:is>
      </x:c>
    </x:row>
    <x:row r="12">
      <x:c r="A12" t="inlineStr">
        <x:is>
          <x:t xml:space="preserve">03</x:t>
        </x:is>
      </x:c>
      <x:c r="B12" t="inlineStr">
        <x:is>
          <x:t xml:space="preserve">BEA via FRED</x:t>
        </x:is>
      </x:c>
      <x:c r="C12" t="inlineStr">
        <x:is>
          <x:t xml:space="preserve">Total Personal Consumption Expenditures</x:t>
        </x:is>
      </x:c>
      <x:c r="D12" s="225" t="inlineStr">
        <x:is>
          <x:t xml:space="preserve">PCECA</x:t>
        </x:is>
      </x:c>
      <x:c r="E12" t="inlineStr">
        <x:is>
          <x:t xml:space="preserve">Year, total nominal PCE</x:t>
        </x:is>
      </x:c>
      <x:c r="F12" t="inlineStr">
        <x:is>
          <x:t xml:space="preserve">Annual; $bn nominal</x:t>
        </x:is>
      </x:c>
    </x:row>
    <x:row r="13">
      <x:c r="A13" t="inlineStr">
        <x:is>
          <x:t xml:space="preserve">04</x:t>
        </x:is>
      </x:c>
      <x:c r="B13" t="inlineStr">
        <x:is>
          <x:t xml:space="preserve">BLS via FRED</x:t>
        </x:is>
      </x:c>
      <x:c r="C13" t="inlineStr">
        <x:is>
          <x:t xml:space="preserve">Headline CPI</x:t>
        </x:is>
      </x:c>
      <x:c r="D13" s="225" t="inlineStr">
        <x:is>
          <x:t xml:space="preserve">CPIAUCSL</x:t>
        </x:is>
      </x:c>
      <x:c r="E13" t="inlineStr">
        <x:is>
          <x:t xml:space="preserve">Date, CPI index</x:t>
        </x:is>
      </x:c>
      <x:c r="F13" t="inlineStr">
        <x:is>
          <x:t xml:space="preserve">Monthly; seasonally adjusted</x:t>
        </x:is>
      </x:c>
    </x:row>
    <x:row r="14">
      <x:c r="A14" t="inlineStr">
        <x:is>
          <x:t xml:space="preserve">04</x:t>
        </x:is>
      </x:c>
      <x:c r="B14" t="inlineStr">
        <x:is>
          <x:t xml:space="preserve">BLS via FRED</x:t>
        </x:is>
      </x:c>
      <x:c r="C14" t="inlineStr">
        <x:is>
          <x:t xml:space="preserve">Core CPI ex food &amp; energy</x:t>
        </x:is>
      </x:c>
      <x:c r="D14" s="225" t="inlineStr">
        <x:is>
          <x:t xml:space="preserve">CPILFESL</x:t>
        </x:is>
      </x:c>
      <x:c r="E14" t="inlineStr">
        <x:is>
          <x:t xml:space="preserve">Date, CPI index</x:t>
        </x:is>
      </x:c>
      <x:c r="F14" t="inlineStr">
        <x:is>
          <x:t xml:space="preserve">Monthly; seasonally adjusted</x:t>
        </x:is>
      </x:c>
    </x:row>
    <x:row r="15">
      <x:c r="A15" t="inlineStr">
        <x:is>
          <x:t xml:space="preserve">04</x:t>
        </x:is>
      </x:c>
      <x:c r="B15" t="inlineStr">
        <x:is>
          <x:t xml:space="preserve">BLS via FRED</x:t>
        </x:is>
      </x:c>
      <x:c r="C15" t="inlineStr">
        <x:is>
          <x:t xml:space="preserve">Energy CPI</x:t>
        </x:is>
      </x:c>
      <x:c r="D15" s="225" t="inlineStr">
        <x:is>
          <x:t xml:space="preserve">CPIENGSL</x:t>
        </x:is>
      </x:c>
      <x:c r="E15" t="inlineStr">
        <x:is>
          <x:t xml:space="preserve">Date, CPI index</x:t>
        </x:is>
      </x:c>
      <x:c r="F15" t="inlineStr">
        <x:is>
          <x:t xml:space="preserve">Monthly; seasonally adjusted</x:t>
        </x:is>
      </x:c>
    </x:row>
    <x:row r="16">
      <x:c r="A16" t="inlineStr">
        <x:is>
          <x:t xml:space="preserve">04</x:t>
        </x:is>
      </x:c>
      <x:c r="B16" t="inlineStr">
        <x:is>
          <x:t xml:space="preserve">BLS via FRED</x:t>
        </x:is>
      </x:c>
      <x:c r="C16" t="inlineStr">
        <x:is>
          <x:t xml:space="preserve">Transportation Services CPI</x:t>
        </x:is>
      </x:c>
      <x:c r="D16" s="225" t="inlineStr">
        <x:is>
          <x:t xml:space="preserve">CUSR0000SAS4</x:t>
        </x:is>
      </x:c>
      <x:c r="E16" t="inlineStr">
        <x:is>
          <x:t xml:space="preserve">Date, CPI index</x:t>
        </x:is>
      </x:c>
      <x:c r="F16" t="inlineStr">
        <x:is>
          <x:t xml:space="preserve">Monthly; seasonally adjusted</x:t>
        </x:is>
      </x:c>
    </x:row>
    <x:row r="17" s="204" customFormat="1" ht="25" customHeight="1">
      <x:c r="A17" s="344" t="inlineStr">
        <x:is>
          <x:t xml:space="preserve">05</x:t>
        </x:is>
      </x:c>
      <x:c r="B17" s="344" t="inlineStr">
        <x:is>
          <x:t xml:space="preserve">BEA via FRED</x:t>
        </x:is>
      </x:c>
      <x:c r="C17" s="344" t="inlineStr">
        <x:is>
          <x:t xml:space="preserve">Real Personal Consumption Expenditures</x:t>
        </x:is>
      </x:c>
      <x:c r="D17" s="344" t="inlineStr">
        <x:is>
          <x:t xml:space="preserve">PCEC96</x:t>
        </x:is>
      </x:c>
      <x:c r="E17" s="344" t="inlineStr">
        <x:is>
          <x:t xml:space="preserve">A13:G93; monthly levels plus simple YoY formulas, 2020-2026</x:t>
        </x:is>
      </x:c>
      <x:c r="F17" s="344" t="inlineStr">
        <x:is>
          <x:t xml:space="preserve">Monthly; billions of chained 2017 dollars, SAAR</x:t>
        </x:is>
      </x:c>
    </x:row>
    <x:row r="18" s="204" customFormat="1" ht="25" customHeight="1">
      <x:c r="A18" s="344" t="inlineStr">
        <x:is>
          <x:t xml:space="preserve">05</x:t>
        </x:is>
      </x:c>
      <x:c r="B18" s="344" t="inlineStr">
        <x:is>
          <x:t xml:space="preserve">St Louis Fed / FRED</x:t>
        </x:is>
      </x:c>
      <x:c r="C18" s="344" t="inlineStr">
        <x:is>
          <x:t xml:space="preserve">Advance Real Retail and Food Services Sales</x:t>
        </x:is>
      </x:c>
      <x:c r="D18" s="344" t="inlineStr">
        <x:is>
          <x:t xml:space="preserve">RRSFS</x:t>
        </x:is>
      </x:c>
      <x:c r="E18" s="344" t="inlineStr">
        <x:is>
          <x:t xml:space="preserve">A13:G93; monthly levels plus simple YoY formulas, 2020-2026</x:t>
        </x:is>
      </x:c>
      <x:c r="F18" s="344" t="inlineStr">
        <x:is>
          <x:t xml:space="preserve">Monthly; millions of CPI-adjusted dollars, SA</x:t>
        </x:is>
      </x:c>
    </x:row>
    <x:row r="19" s="204" customFormat="1" ht="25" customHeight="1">
      <x:c r="A19" s="344" t="inlineStr">
        <x:is>
          <x:t xml:space="preserve">05</x:t>
        </x:is>
      </x:c>
      <x:c r="B19" s="344" t="inlineStr">
        <x:is>
          <x:t xml:space="preserve">BEA via FRED</x:t>
        </x:is>
      </x:c>
      <x:c r="C19" s="344" t="inlineStr">
        <x:is>
          <x:t xml:space="preserve">Real Personal Consumption Expenditures: Services</x:t>
        </x:is>
      </x:c>
      <x:c r="D19" s="344" t="inlineStr">
        <x:is>
          <x:t xml:space="preserve">PCESC96</x:t>
        </x:is>
      </x:c>
      <x:c r="E19" s="344" t="inlineStr">
        <x:is>
          <x:t xml:space="preserve">A13:G93; monthly levels plus simple YoY formulas, 2020-2026</x:t>
        </x:is>
      </x:c>
      <x:c r="F19" s="344" t="inlineStr">
        <x:is>
          <x:t xml:space="preserve">Monthly; billions of chained 2017 dollars, SAAR</x:t>
        </x:is>
      </x:c>
    </x:row>
    <x:row r="20" s="204" customFormat="1" ht="25" customHeight="1">
      <x:c r="A20" s="344" t="n"/>
      <x:c r="B20" s="344" t="n"/>
      <x:c r="C20" s="344" t="n"/>
      <x:c r="D20" s="344" t="n"/>
      <x:c r="E20" s="344" t="n"/>
      <x:c r="F20" s="344" t="n"/>
    </x:row>
    <x:row r="21" s="204" customFormat="1" ht="25" customHeight="1">
      <x:c r="A21" s="344" t="n"/>
      <x:c r="B21" s="344" t="n"/>
      <x:c r="C21" s="344" t="n"/>
      <x:c r="D21" s="344" t="n"/>
      <x:c r="E21" s="344" t="n"/>
      <x:c r="F21" s="344" t="n"/>
    </x:row>
    <x:row r="22" s="204" customFormat="1" ht="25" customHeight="1">
      <x:c r="A22" s="344" t="n"/>
      <x:c r="B22" s="344" t="n"/>
      <x:c r="C22" s="344" t="n"/>
      <x:c r="D22" s="344" t="n"/>
      <x:c r="E22" s="344" t="n"/>
      <x:c r="F22" s="344" t="n"/>
    </x:row>
    <x:row r="23" s="204" customFormat="1" ht="25" customHeight="1">
      <x:c r="A23" s="345" t="n"/>
      <x:c r="B23" s="345" t="n"/>
      <x:c r="C23" s="345" t="n"/>
      <x:c r="D23" s="345" t="n"/>
      <x:c r="E23" s="345" t="n"/>
      <x:c r="F23" s="345" t="n"/>
    </x:row>
  </x:sheetData>
  <x:mergeCells>
    <x:mergeCell ref="A3:F3"/>
    <x:mergeCell ref="A1:F2"/>
  </x:mergeCells>
  <x:pageMargins left="0.7" right="0.7" top="0.75" bottom="0.75" header="0.3" footer="0.3"/>
</x:worksheet>
</file>