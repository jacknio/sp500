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b9bcd5223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Seat Economics" sheetId="1" r:id="R3f283cb83cda4cd1"/>
    <x:sheet xmlns:r="http://schemas.openxmlformats.org/officeDocument/2006/relationships" name="Football Field" sheetId="2" r:id="Ref4b41d4219b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;[Red](#,##0.0);-"/>
    <x:numFmt numFmtId="201" formatCode="0.0%;[Red](0.0%);-"/>
    <x:numFmt numFmtId="202" formatCode="$#,##0;[Red]($#,##0);-"/>
    <x:numFmt numFmtId="203" formatCode="0.00&quot;x&quot;;[Red](0.00&quot;x&quot;);-"/>
    <x:numFmt numFmtId="204" formatCode="0%"/>
    <x:numFmt numFmtId="205" formatCode="#,##0.0;[Red](#,##0.0);–"/>
    <x:numFmt numFmtId="206" formatCode="0.00&quot;x&quot;;[Red](0.00&quot;x&quot;);–"/>
    <x:numFmt numFmtId="207" formatCode="0.0%;[Red](0.0%);–"/>
    <x:numFmt numFmtId="208" formatCode="$#,##0;[Red]($#,##0);–"/>
  </x:numFmts>
  <x:fonts count="26">
    <x:font>
      <x:sz val="11"/>
      <x:name val="Carlito"/>
    </x:font>
    <x:font>
      <x:sz val="10"/>
      <x:color rgb="FF000000"/>
      <x:name val="Arial"/>
    </x:font>
    <x:font>
      <x:b/>
      <x:sz val="11"/>
      <x:color rgb="FFFFFFFF"/>
      <x:name val="Arial"/>
    </x:font>
    <x:font>
      <x:i/>
      <x:sz val="9"/>
      <x:color rgb="FF556273"/>
      <x:name val="Arial"/>
    </x:font>
    <x:font>
      <x:b/>
      <x:sz val="9"/>
      <x:color rgb="FF8D5A00"/>
      <x:name val="Arial"/>
    </x:font>
    <x:font>
      <x:b/>
      <x:sz val="10"/>
      <x:color rgb="FFFFFFFF"/>
      <x:name val="Arial"/>
    </x:font>
    <x:font>
      <x:b/>
      <x:sz val="9"/>
      <x:color rgb="FF253A52"/>
      <x:name val="Arial"/>
    </x:font>
    <x:font>
      <x:sz val="9"/>
      <x:color rgb="FF556273"/>
      <x:name val="Arial"/>
    </x:font>
    <x:font>
      <x:sz val="10"/>
      <x:color rgb="FF0000FF"/>
      <x:name val="Arial"/>
    </x:font>
    <x:font>
      <x:sz val="10"/>
      <x:color rgb="FF0000FF"/>
      <x:name val="Arial"/>
    </x:font>
    <x:font>
      <x:b/>
      <x:sz val="10"/>
      <x:color rgb="FF000000"/>
      <x:name val="Arial"/>
    </x:font>
    <x:font>
      <x:b/>
      <x:sz val="10"/>
      <x:color rgb="FF253A52"/>
      <x:name val="Arial"/>
    </x:font>
    <x:font>
      <x:b/>
      <x:sz val="9"/>
      <x:color rgb="FF805C18"/>
      <x:name val="Arial"/>
    </x:font>
    <x:font>
      <x:sz val="9"/>
      <x:color rgb="FF253A52"/>
      <x:name val="Arial"/>
    </x:font>
    <x:font>
      <x:sz val="9"/>
      <x:color rgb="FF2563EB"/>
      <x:name val="Arial"/>
    </x:font>
    <x:font>
      <x:sz val="11"/>
      <x:name val="Arial"/>
    </x:font>
    <x:font>
      <x:sz val="10"/>
      <x:name val="Arial"/>
    </x:font>
    <x:font>
      <x:b/>
      <x:sz val="16"/>
      <x:color rgb="FFFFFFFF"/>
      <x:name val="Arial"/>
    </x:font>
    <x:font>
      <x:sz val="10"/>
      <x:color rgb="FF26374C"/>
      <x:name val="Arial"/>
    </x:font>
    <x:font>
      <x:b/>
      <x:sz val="10"/>
      <x:color rgb="FF26374C"/>
      <x:name val="Arial"/>
    </x:font>
    <x:font>
      <x:sz val="10"/>
      <x:color rgb="FF008000"/>
      <x:name val="Arial"/>
    </x:font>
    <x:font>
      <x:sz val="10"/>
      <x:color rgb="FFBB2424"/>
      <x:name val="Arial"/>
    </x:font>
    <x:font>
      <x:b/>
      <x:sz val="10"/>
      <x:color rgb="FFBB2424"/>
      <x:name val="Arial"/>
    </x:font>
    <x:font>
      <x:sz val="10"/>
      <x:color rgb="FF8F6518"/>
      <x:name val="Arial"/>
    </x:font>
    <x:font>
      <x:b/>
      <x:sz val="10"/>
      <x:color rgb="FF8F6518"/>
      <x:name val="Arial"/>
    </x:font>
    <x:font>
      <x:sz val="10"/>
      <x:color rgb="FF0000FF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13263D"/>
      </x:patternFill>
    </x:fill>
    <x:fill>
      <x:patternFill patternType="solid">
        <x:fgColor rgb="FFF3F5F7"/>
      </x:patternFill>
    </x:fill>
    <x:fill>
      <x:patternFill patternType="solid">
        <x:fgColor rgb="FFFFF6E5"/>
      </x:patternFill>
    </x:fill>
    <x:fill>
      <x:patternFill patternType="solid">
        <x:fgColor rgb="FF253A52"/>
      </x:patternFill>
    </x:fill>
    <x:fill>
      <x:patternFill patternType="solid">
        <x:fgColor rgb="FFEAF0F5"/>
      </x:patternFill>
    </x:fill>
    <x:fill>
      <x:patternFill patternType="solid">
        <x:fgColor rgb="FFFFF2CC"/>
      </x:patternFill>
    </x:fill>
    <x:fill>
      <x:patternFill patternType="solid">
        <x:fgColor rgb="FFE5F1EB"/>
      </x:patternFill>
    </x:fill>
    <x:fill>
      <x:patternFill patternType="solid">
        <x:fgColor rgb="FFFFF5E7"/>
      </x:patternFill>
    </x:fill>
    <x:fill>
      <x:patternFill patternType="solid">
        <x:fgColor rgb="FF142538"/>
      </x:patternFill>
    </x:fill>
    <x:fill>
      <x:patternFill patternType="solid">
        <x:fgColor rgb="FFD8E6F0"/>
      </x:patternFill>
    </x:fill>
    <x:fill>
      <x:patternFill patternType="solid">
        <x:fgColor rgb="FFFFF0B6"/>
      </x:patternFill>
    </x:fill>
    <x:fill>
      <x:patternFill patternType="solid">
        <x:fgColor rgb="FFEAF1F6"/>
      </x:patternFill>
    </x:fill>
    <x:fill>
      <x:patternFill patternType="solid">
        <x:fgColor rgb="FF26374C"/>
      </x:patternFill>
    </x:fill>
    <x:fill>
      <x:patternFill patternType="solid">
        <x:fgColor rgb="FFF4F7FA"/>
      </x:patternFill>
    </x:fill>
    <x:fill>
      <x:patternFill patternType="solid">
        <x:fgColor rgb="FFFFF3CB"/>
      </x:patternFill>
    </x:fill>
  </x:fills>
  <x:borders count="5">
    <x:border/>
    <x:border/>
    <x:border>
      <x:left style="thick">
        <x:color rgb="FF13263D"/>
      </x:left>
      <x:right style="thick">
        <x:color rgb="FF13263D"/>
      </x:right>
      <x:top style="thick">
        <x:color rgb="FF13263D"/>
      </x:top>
      <x:bottom style="thick">
        <x:color rgb="FF13263D"/>
      </x:bottom>
    </x:border>
    <x:border>
      <x:left style="thick">
        <x:color rgb="FF13263D"/>
      </x:left>
      <x:right style="thick">
        <x:color rgb="FF13263D"/>
      </x:right>
      <x:top style="thick">
        <x:color rgb="FF13263D"/>
      </x:top>
      <x:bottom style="thick">
        <x:color rgb="FF13263D"/>
      </x:bottom>
    </x:border>
    <x:border>
      <x:top/>
    </x:border>
  </x:borders>
  <x:cellStyleXfs count="1">
    <x:xf numFmtId="0" fontId="0" fillId="0" borderId="0"/>
  </x:cellStyleXfs>
  <x:cellXfs count="2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horizontal="right"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right" vertical="center"/>
    </x:xf>
    <x:xf numFmtId="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horizontal="right"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right" vertical="center"/>
    </x:xf>
    <x:xf numFmtId="0" fontId="7" fillId="0" borderId="1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0" fontId="8" fillId="0" borderId="1" xfId="0" applyNumberFormat="1" applyFont="1" applyFill="1" applyBorder="1" applyAlignment="1">
      <x:alignment horizontal="right" vertical="center"/>
    </x:xf>
    <x:xf numFmtId="0" fontId="8" fillId="7" borderId="0" xfId="0" applyNumberFormat="1" applyFont="1" applyFill="1" applyBorder="1" applyAlignment="1">
      <x:alignment horizontal="right" vertical="center"/>
    </x:xf>
    <x:xf numFmtId="0" fontId="8" fillId="7" borderId="1" xfId="0" applyNumberFormat="1" applyFont="1" applyFill="1" applyBorder="1" applyAlignment="1">
      <x:alignment horizontal="right" vertical="center"/>
    </x:xf>
    <x:xf numFmtId="200" fontId="8" fillId="7" borderId="0" xfId="0" applyNumberFormat="1" applyFont="1" applyFill="1" applyBorder="1" applyAlignment="1">
      <x:alignment horizontal="right" vertical="center"/>
    </x:xf>
    <x:xf numFmtId="200" fontId="8" fillId="7" borderId="1" xfId="0" applyNumberFormat="1" applyFont="1" applyFill="1" applyBorder="1" applyAlignment="1">
      <x:alignment horizontal="right" vertical="center"/>
    </x:xf>
    <x:xf numFmtId="0" fontId="1" fillId="7" borderId="0" xfId="0" applyNumberFormat="1" applyFont="1" applyFill="1" applyBorder="1" applyAlignment="1">
      <x:alignment horizontal="right" vertical="center"/>
    </x:xf>
    <x:xf numFmtId="0" fontId="1" fillId="7" borderId="1" xfId="0" applyNumberFormat="1" applyFont="1" applyFill="1" applyBorder="1" applyAlignment="1">
      <x:alignment horizontal="right" vertical="center"/>
    </x:xf>
    <x:xf numFmtId="0" fontId="9" fillId="7" borderId="0" xfId="0" applyNumberFormat="1" applyFont="1" applyFill="1" applyBorder="1" applyAlignment="1">
      <x:alignment horizontal="right" vertical="center"/>
    </x:xf>
    <x:xf numFmtId="0" fontId="9" fillId="7" borderId="1" xfId="0" applyNumberFormat="1" applyFont="1" applyFill="1" applyBorder="1" applyAlignment="1">
      <x:alignment horizontal="right" vertical="center"/>
    </x:xf>
    <x:xf numFmtId="200" fontId="9" fillId="7" borderId="0" xfId="0" applyNumberFormat="1" applyFont="1" applyFill="1" applyBorder="1" applyAlignment="1">
      <x:alignment horizontal="right" vertical="center"/>
    </x:xf>
    <x:xf numFmtId="200" fontId="9" fillId="7" borderId="1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1" fillId="5" borderId="1" xfId="0" applyNumberFormat="1" applyFont="1" applyFill="1" applyBorder="1" applyAlignment="1">
      <x:alignment horizontal="right" vertical="center"/>
    </x:xf>
    <x:xf numFmtId="0" fontId="5" fillId="5" borderId="1" xfId="0" applyNumberFormat="1" applyFont="1" applyFill="1" applyBorder="1" applyAlignment="1">
      <x:alignment horizontal="right" vertical="center"/>
    </x:xf>
    <x:xf numFmtId="201" fontId="8" fillId="7" borderId="0" xfId="0" applyNumberFormat="1" applyFont="1" applyFill="1" applyBorder="1" applyAlignment="1">
      <x:alignment horizontal="right" vertical="center"/>
    </x:xf>
    <x:xf numFmtId="201" fontId="8" fillId="7" borderId="1" xfId="0" applyNumberFormat="1" applyFont="1" applyFill="1" applyBorder="1" applyAlignment="1">
      <x:alignment horizontal="right" vertical="center"/>
    </x:xf>
    <x:xf numFmtId="202" fontId="8" fillId="7" borderId="0" xfId="0" applyNumberFormat="1" applyFont="1" applyFill="1" applyBorder="1" applyAlignment="1">
      <x:alignment horizontal="right" vertical="center"/>
    </x:xf>
    <x:xf numFmtId="202" fontId="8" fillId="7" borderId="1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1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right" vertical="center"/>
    </x:xf>
    <x:xf numFmtId="200" fontId="1" fillId="8" borderId="0" xfId="0" applyNumberFormat="1" applyFont="1" applyFill="1" applyBorder="1" applyAlignment="1">
      <x:alignment horizontal="right" vertical="center"/>
    </x:xf>
    <x:xf numFmtId="0" fontId="1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horizontal="right" vertical="center"/>
    </x:xf>
    <x:xf numFmtId="200" fontId="1" fillId="8" borderId="1" xfId="0" applyNumberFormat="1" applyFont="1" applyFill="1" applyBorder="1" applyAlignment="1">
      <x:alignment horizontal="right"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horizontal="right" vertical="center"/>
    </x:xf>
    <x:xf numFmtId="200" fontId="10" fillId="8" borderId="0" xfId="0" applyNumberFormat="1" applyFont="1" applyFill="1" applyBorder="1" applyAlignment="1">
      <x:alignment horizontal="right"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horizontal="right" vertical="center"/>
    </x:xf>
    <x:xf numFmtId="200" fontId="10" fillId="8" borderId="1" xfId="0" applyNumberFormat="1" applyFont="1" applyFill="1" applyBorder="1" applyAlignment="1">
      <x:alignment horizontal="right" vertical="center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horizontal="right" vertical="center"/>
    </x:xf>
    <x:xf numFmtId="200" fontId="1" fillId="6" borderId="0" xfId="0" applyNumberFormat="1" applyFont="1" applyFill="1" applyBorder="1" applyAlignment="1">
      <x:alignment horizontal="right" vertical="center"/>
    </x:xf>
    <x:xf numFmtId="0" fontId="7" fillId="6" borderId="1" xfId="0" applyNumberFormat="1" applyFont="1" applyFill="1" applyBorder="1" applyAlignment="1">
      <x:alignment horizontal="right" vertical="center"/>
    </x:xf>
    <x:xf numFmtId="200" fontId="1" fillId="6" borderId="1" xfId="0" applyNumberFormat="1" applyFont="1" applyFill="1" applyBorder="1" applyAlignment="1">
      <x:alignment horizontal="right" vertical="center"/>
    </x:xf>
    <x:xf numFmtId="0" fontId="10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horizontal="right" vertical="center"/>
    </x:xf>
    <x:xf numFmtId="200" fontId="10" fillId="6" borderId="0" xfId="0" applyNumberFormat="1" applyFont="1" applyFill="1" applyBorder="1" applyAlignment="1">
      <x:alignment horizontal="right" vertical="center"/>
    </x:xf>
    <x:xf numFmtId="0" fontId="10" fillId="6" borderId="1" xfId="0" applyNumberFormat="1" applyFont="1" applyFill="1" applyBorder="1" applyAlignment="1">
      <x:alignment vertical="center"/>
    </x:xf>
    <x:xf numFmtId="0" fontId="10" fillId="6" borderId="1" xfId="0" applyNumberFormat="1" applyFont="1" applyFill="1" applyBorder="1" applyAlignment="1">
      <x:alignment horizontal="right" vertical="center"/>
    </x:xf>
    <x:xf numFmtId="200" fontId="10" fillId="6" borderId="1" xfId="0" applyNumberFormat="1" applyFont="1" applyFill="1" applyBorder="1" applyAlignment="1">
      <x:alignment horizontal="right" vertical="center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0" borderId="1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1" fillId="3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horizontal="right" vertical="center"/>
    </x:xf>
    <x:xf numFmtId="0" fontId="11" fillId="3" borderId="1" xfId="0" applyNumberFormat="1" applyFont="1" applyFill="1" applyBorder="1" applyAlignment="1">
      <x:alignment vertical="center"/>
    </x:xf>
    <x:xf numFmtId="0" fontId="11" fillId="3" borderId="1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horizontal="right" vertical="center"/>
    </x:xf>
    <x:xf numFmtId="0" fontId="12" fillId="9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horizontal="right" vertical="center"/>
    </x:xf>
    <x:xf numFmtId="0" fontId="1" fillId="9" borderId="1" xfId="0" applyNumberFormat="1" applyFont="1" applyFill="1" applyBorder="1" applyAlignment="1">
      <x:alignment vertical="center"/>
    </x:xf>
    <x:xf numFmtId="0" fontId="1" fillId="9" borderId="1" xfId="0" applyNumberFormat="1" applyFont="1" applyFill="1" applyBorder="1" applyAlignment="1">
      <x:alignment horizontal="right" vertical="center"/>
    </x:xf>
    <x:xf numFmtId="0" fontId="12" fillId="9" borderId="1" xfId="0" applyNumberFormat="1" applyFont="1" applyFill="1" applyBorder="1" applyAlignment="1">
      <x:alignment vertical="center"/>
    </x:xf>
    <x:xf numFmtId="0" fontId="12" fillId="9" borderId="1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0" borderId="1" xfId="0" applyNumberFormat="1" applyFont="1" applyFill="1" applyBorder="1" applyAlignment="1">
      <x:alignment horizontal="right" vertical="center"/>
    </x:xf>
    <x:xf numFmtId="204" fontId="1" fillId="6" borderId="0" xfId="0" applyNumberFormat="1" applyFont="1" applyFill="1" applyBorder="1" applyAlignment="1">
      <x:alignment horizontal="right" vertical="center"/>
    </x:xf>
    <x:xf numFmtId="0" fontId="11" fillId="6" borderId="0" xfId="0" applyNumberFormat="1" applyFont="1" applyFill="1" applyBorder="1" applyAlignment="1">
      <x:alignment vertical="center"/>
    </x:xf>
    <x:xf numFmtId="204" fontId="11" fillId="6" borderId="0" xfId="0" applyNumberFormat="1" applyFont="1" applyFill="1" applyBorder="1" applyAlignment="1">
      <x:alignment horizontal="right" vertical="center"/>
    </x:xf>
    <x:xf numFmtId="204" fontId="1" fillId="6" borderId="1" xfId="0" applyNumberFormat="1" applyFont="1" applyFill="1" applyBorder="1" applyAlignment="1">
      <x:alignment horizontal="right" vertical="center"/>
    </x:xf>
    <x:xf numFmtId="0" fontId="11" fillId="6" borderId="1" xfId="0" applyNumberFormat="1" applyFont="1" applyFill="1" applyBorder="1" applyAlignment="1">
      <x:alignment vertical="center"/>
    </x:xf>
    <x:xf numFmtId="204" fontId="11" fillId="6" borderId="1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  <x:xf numFmtId="204" fontId="11" fillId="0" borderId="0" xfId="0" applyNumberFormat="1" applyFont="1" applyFill="1" applyBorder="1" applyAlignment="1">
      <x:alignment vertical="center"/>
    </x:xf>
    <x:xf numFmtId="204" fontId="1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0" fontId="10" fillId="0" borderId="2" xfId="0" applyNumberFormat="1" applyFont="1" applyFill="1" applyBorder="1" applyAlignment="1">
      <x:alignment horizontal="right" vertical="center"/>
    </x:xf>
    <x:xf numFmtId="200" fontId="10" fillId="0" borderId="3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2" fontId="1" fillId="6" borderId="0" xfId="0" applyNumberFormat="1" applyFont="1" applyFill="1" applyBorder="1" applyAlignment="1">
      <x:alignment horizontal="right" vertical="center"/>
    </x:xf>
    <x:xf numFmtId="202" fontId="11" fillId="6" borderId="0" xfId="0" applyNumberFormat="1" applyFont="1" applyFill="1" applyBorder="1" applyAlignment="1">
      <x:alignment horizontal="right" vertical="center"/>
    </x:xf>
    <x:xf numFmtId="202" fontId="1" fillId="6" borderId="1" xfId="0" applyNumberFormat="1" applyFont="1" applyFill="1" applyBorder="1" applyAlignment="1">
      <x:alignment horizontal="right" vertical="center"/>
    </x:xf>
    <x:xf numFmtId="202" fontId="11" fillId="6" borderId="1" xfId="0" applyNumberFormat="1" applyFont="1" applyFill="1" applyBorder="1" applyAlignment="1">
      <x:alignment horizontal="right" vertical="center"/>
    </x:xf>
    <x:xf numFmtId="202" fontId="9" fillId="7" borderId="0" xfId="0" applyNumberFormat="1" applyFont="1" applyFill="1" applyBorder="1" applyAlignment="1">
      <x:alignment horizontal="right" vertical="center"/>
    </x:xf>
    <x:xf numFmtId="202" fontId="9" fillId="7" borderId="1" xfId="0" applyNumberFormat="1" applyFont="1" applyFill="1" applyBorder="1" applyAlignment="1">
      <x:alignment horizontal="right" vertical="center"/>
    </x:xf>
    <x:xf numFmtId="201" fontId="9" fillId="7" borderId="0" xfId="0" applyNumberFormat="1" applyFont="1" applyFill="1" applyBorder="1" applyAlignment="1">
      <x:alignment horizontal="right" vertical="center"/>
    </x:xf>
    <x:xf numFmtId="201" fontId="9" fillId="7" borderId="1" xfId="0" applyNumberFormat="1" applyFont="1" applyFill="1" applyBorder="1" applyAlignment="1">
      <x:alignment horizontal="right" vertical="center"/>
    </x:xf>
    <x:xf numFmtId="202" fontId="1" fillId="8" borderId="0" xfId="0" applyNumberFormat="1" applyFont="1" applyFill="1" applyBorder="1" applyAlignment="1">
      <x:alignment horizontal="right" vertical="center"/>
    </x:xf>
    <x:xf numFmtId="0" fontId="1" fillId="8" borderId="0" xfId="0" applyNumberFormat="1" applyFont="1" applyFill="1" applyBorder="1" applyAlignment="1">
      <x:alignment horizontal="right" vertical="center"/>
    </x:xf>
    <x:xf numFmtId="202" fontId="1" fillId="8" borderId="1" xfId="0" applyNumberFormat="1" applyFont="1" applyFill="1" applyBorder="1" applyAlignment="1">
      <x:alignment horizontal="right" vertical="center"/>
    </x:xf>
    <x:xf numFmtId="0" fontId="1" fillId="8" borderId="1" xfId="0" applyNumberFormat="1" applyFont="1" applyFill="1" applyBorder="1" applyAlignment="1">
      <x:alignment horizontal="right" vertical="center"/>
    </x:xf>
    <x:xf numFmtId="0" fontId="13" fillId="3" borderId="0" xfId="0" applyNumberFormat="1" applyFont="1" applyFill="1" applyBorder="1" applyAlignment="1">
      <x:alignment vertical="center"/>
    </x:xf>
    <x:xf numFmtId="0" fontId="13" fillId="3" borderId="1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4" fillId="0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16" fillId="10" borderId="0" xfId="0" applyNumberFormat="1" applyFont="1" applyFill="1" applyBorder="1"/>
    <x:xf numFmtId="0" fontId="17" fillId="10" borderId="0" xfId="0" applyNumberFormat="1" applyFont="1" applyFill="1" applyBorder="1"/>
    <x:xf numFmtId="0" fontId="17" fillId="10" borderId="0" xfId="0" applyNumberFormat="1" applyFont="1" applyFill="1" applyBorder="1" applyAlignment="1">
      <x:alignment vertical="center"/>
    </x:xf>
    <x:xf numFmtId="0" fontId="16" fillId="11" borderId="0" xfId="0" applyNumberFormat="1" applyFont="1" applyFill="1" applyBorder="1"/>
    <x:xf numFmtId="0" fontId="18" fillId="11" borderId="0" xfId="0" applyNumberFormat="1" applyFont="1" applyFill="1" applyBorder="1"/>
    <x:xf numFmtId="0" fontId="18" fillId="11" borderId="0" xfId="0" applyNumberFormat="1" applyFont="1" applyFill="1" applyBorder="1" applyAlignment="1">
      <x:alignment vertical="center"/>
    </x:xf>
    <x:xf numFmtId="0" fontId="16" fillId="12" borderId="0" xfId="0" applyNumberFormat="1" applyFont="1" applyFill="1" applyBorder="1"/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vertical="center"/>
    </x:xf>
    <x:xf numFmtId="0" fontId="16" fillId="13" borderId="0" xfId="0" applyNumberFormat="1" applyFont="1" applyFill="1" applyBorder="1"/>
    <x:xf numFmtId="0" fontId="19" fillId="13" borderId="0" xfId="0" applyNumberFormat="1" applyFont="1" applyFill="1" applyBorder="1"/>
    <x:xf numFmtId="0" fontId="19" fillId="13" borderId="0" xfId="0" applyNumberFormat="1" applyFont="1" applyFill="1" applyBorder="1" applyAlignment="1">
      <x:alignment vertical="center"/>
    </x:xf>
    <x:xf numFmtId="0" fontId="16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horizontal="right" vertical="center"/>
    </x:xf>
    <x:xf numFmtId="205" fontId="16" fillId="0" borderId="0" xfId="0" applyNumberFormat="1" applyFont="1" applyFill="1" applyBorder="1" applyAlignment="1">
      <x:alignment horizontal="right" vertical="center"/>
    </x:xf>
    <x:xf numFmtId="0" fontId="16" fillId="15" borderId="0" xfId="0" applyNumberFormat="1" applyFont="1" applyFill="1" applyBorder="1" applyAlignment="1">
      <x:alignment vertical="center"/>
    </x:xf>
    <x:xf numFmtId="205" fontId="16" fillId="15" borderId="0" xfId="0" applyNumberFormat="1" applyFont="1" applyFill="1" applyBorder="1" applyAlignment="1">
      <x:alignment horizontal="right" vertical="center"/>
    </x:xf>
    <x:xf numFmtId="0" fontId="16" fillId="15" borderId="0" xfId="0" applyNumberFormat="1" applyFont="1" applyFill="1" applyBorder="1" applyAlignment="1">
      <x:alignment vertical="center" wrapText="1"/>
    </x:xf>
    <x:xf numFmtId="205" fontId="20" fillId="15" borderId="0" xfId="0" applyNumberFormat="1" applyFont="1" applyFill="1" applyBorder="1" applyAlignment="1">
      <x:alignment horizontal="right" vertical="center"/>
    </x:xf>
    <x:xf numFmtId="0" fontId="16" fillId="15" borderId="4" xfId="0" applyNumberFormat="1" applyFont="1" applyFill="1" applyBorder="1" applyAlignment="1">
      <x:alignment vertical="center"/>
    </x:xf>
    <x:xf numFmtId="205" fontId="20" fillId="15" borderId="4" xfId="0" applyNumberFormat="1" applyFont="1" applyFill="1" applyBorder="1" applyAlignment="1">
      <x:alignment horizontal="right" vertical="center"/>
    </x:xf>
    <x:xf numFmtId="0" fontId="16" fillId="15" borderId="4" xfId="0" applyNumberFormat="1" applyFont="1" applyFill="1" applyBorder="1" applyAlignment="1">
      <x:alignment vertical="center" wrapText="1"/>
    </x:xf>
    <x:xf numFmtId="0" fontId="18" fillId="15" borderId="4" xfId="0" applyNumberFormat="1" applyFont="1" applyFill="1" applyBorder="1" applyAlignment="1">
      <x:alignment vertical="center"/>
    </x:xf>
    <x:xf numFmtId="0" fontId="19" fillId="15" borderId="4" xfId="0" applyNumberFormat="1" applyFont="1" applyFill="1" applyBorder="1" applyAlignment="1">
      <x:alignment vertical="center"/>
    </x:xf>
    <x:xf numFmtId="0" fontId="18" fillId="15" borderId="4" xfId="0" applyNumberFormat="1" applyFont="1" applyFill="1" applyBorder="1" applyAlignment="1">
      <x:alignment vertical="center" wrapText="1"/>
    </x:xf>
    <x:xf numFmtId="0" fontId="19" fillId="15" borderId="4" xfId="0" applyNumberFormat="1" applyFont="1" applyFill="1" applyBorder="1" applyAlignment="1">
      <x:alignment vertical="center" wrapText="1"/>
    </x:xf>
    <x:xf numFmtId="205" fontId="20" fillId="0" borderId="0" xfId="0" applyNumberFormat="1" applyFont="1" applyFill="1" applyBorder="1" applyAlignment="1">
      <x:alignment horizontal="right" vertical="center"/>
    </x:xf>
    <x:xf numFmtId="0" fontId="21" fillId="15" borderId="0" xfId="0" applyNumberFormat="1" applyFont="1" applyFill="1" applyBorder="1" applyAlignment="1">
      <x:alignment vertical="center" wrapText="1"/>
    </x:xf>
    <x:xf numFmtId="0" fontId="22" fillId="15" borderId="0" xfId="0" applyNumberFormat="1" applyFont="1" applyFill="1" applyBorder="1" applyAlignment="1">
      <x:alignment vertical="center" wrapText="1"/>
    </x:xf>
    <x:xf numFmtId="205" fontId="16" fillId="12" borderId="0" xfId="0" applyNumberFormat="1" applyFont="1" applyFill="1" applyBorder="1" applyAlignment="1">
      <x:alignment horizontal="right" vertical="center"/>
    </x:xf>
    <x:xf numFmtId="206" fontId="16" fillId="12" borderId="0" xfId="0" applyNumberFormat="1" applyFont="1" applyFill="1" applyBorder="1" applyAlignment="1">
      <x:alignment horizontal="right" vertical="center"/>
    </x:xf>
    <x:xf numFmtId="0" fontId="21" fillId="0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vertical="center" wrapText="1"/>
    </x:xf>
    <x:xf numFmtId="205" fontId="1" fillId="15" borderId="0" xfId="0" applyNumberFormat="1" applyFont="1" applyFill="1" applyBorder="1" applyAlignment="1">
      <x:alignment horizontal="right" vertical="center"/>
    </x:xf>
    <x:xf numFmtId="207" fontId="16" fillId="0" borderId="0" xfId="0" applyNumberFormat="1" applyFont="1" applyFill="1" applyBorder="1" applyAlignment="1">
      <x:alignment horizontal="right" vertical="center"/>
    </x:xf>
    <x:xf numFmtId="207" fontId="1" fillId="0" borderId="0" xfId="0" applyNumberFormat="1" applyFont="1" applyFill="1" applyBorder="1" applyAlignment="1">
      <x:alignment horizontal="right" vertical="center"/>
    </x:xf>
    <x:xf numFmtId="205" fontId="20" fillId="12" borderId="0" xfId="0" applyNumberFormat="1" applyFont="1" applyFill="1" applyBorder="1" applyAlignment="1">
      <x:alignment horizontal="right" vertical="center"/>
    </x:xf>
    <x:xf numFmtId="207" fontId="16" fillId="15" borderId="0" xfId="0" applyNumberFormat="1" applyFont="1" applyFill="1" applyBorder="1" applyAlignment="1">
      <x:alignment horizontal="right" vertical="center"/>
    </x:xf>
    <x:xf numFmtId="207" fontId="20" fillId="15" borderId="0" xfId="0" applyNumberFormat="1" applyFont="1" applyFill="1" applyBorder="1" applyAlignment="1">
      <x:alignment horizontal="right" vertical="center"/>
    </x:xf>
    <x:xf numFmtId="0" fontId="23" fillId="0" borderId="0" xfId="0" applyNumberFormat="1" applyFont="1" applyFill="1" applyBorder="1" applyAlignment="1">
      <x:alignment vertical="center" wrapText="1"/>
    </x:xf>
    <x:xf numFmtId="0" fontId="24" fillId="0" borderId="0" xfId="0" applyNumberFormat="1" applyFont="1" applyFill="1" applyBorder="1" applyAlignment="1">
      <x:alignment vertical="center" wrapText="1"/>
    </x:xf>
    <x:xf numFmtId="207" fontId="20" fillId="0" borderId="0" xfId="0" applyNumberFormat="1" applyFont="1" applyFill="1" applyBorder="1" applyAlignment="1">
      <x:alignment horizontal="right" vertical="center"/>
    </x:xf>
    <x:xf numFmtId="0" fontId="16" fillId="0" borderId="4" xfId="0" applyNumberFormat="1" applyFont="1" applyFill="1" applyBorder="1" applyAlignment="1">
      <x:alignment vertical="center"/>
    </x:xf>
    <x:xf numFmtId="205" fontId="20" fillId="0" borderId="4" xfId="0" applyNumberFormat="1" applyFont="1" applyFill="1" applyBorder="1" applyAlignment="1">
      <x:alignment horizontal="right" vertical="center"/>
    </x:xf>
    <x:xf numFmtId="0" fontId="16" fillId="0" borderId="4" xfId="0" applyNumberFormat="1" applyFont="1" applyFill="1" applyBorder="1" applyAlignment="1">
      <x:alignment vertical="center" wrapText="1"/>
    </x:xf>
    <x:xf numFmtId="0" fontId="18" fillId="0" borderId="4" xfId="0" applyNumberFormat="1" applyFont="1" applyFill="1" applyBorder="1" applyAlignment="1">
      <x:alignment vertical="center"/>
    </x:xf>
    <x:xf numFmtId="0" fontId="19" fillId="0" borderId="4" xfId="0" applyNumberFormat="1" applyFont="1" applyFill="1" applyBorder="1" applyAlignment="1">
      <x:alignment vertical="center"/>
    </x:xf>
    <x:xf numFmtId="0" fontId="18" fillId="0" borderId="4" xfId="0" applyNumberFormat="1" applyFont="1" applyFill="1" applyBorder="1" applyAlignment="1">
      <x:alignment vertical="center" wrapText="1"/>
    </x:xf>
    <x:xf numFmtId="0" fontId="19" fillId="0" borderId="4" xfId="0" applyNumberFormat="1" applyFont="1" applyFill="1" applyBorder="1" applyAlignment="1">
      <x:alignment vertical="center" wrapText="1"/>
    </x:xf>
    <x:xf numFmtId="0" fontId="23" fillId="15" borderId="0" xfId="0" applyNumberFormat="1" applyFont="1" applyFill="1" applyBorder="1" applyAlignment="1">
      <x:alignment vertical="center" wrapText="1"/>
    </x:xf>
    <x:xf numFmtId="0" fontId="24" fillId="15" borderId="0" xfId="0" applyNumberFormat="1" applyFont="1" applyFill="1" applyBorder="1" applyAlignment="1">
      <x:alignment vertical="center" wrapText="1"/>
    </x:xf>
    <x:xf numFmtId="208" fontId="16" fillId="15" borderId="0" xfId="0" applyNumberFormat="1" applyFont="1" applyFill="1" applyBorder="1" applyAlignment="1">
      <x:alignment horizontal="right" vertical="center"/>
    </x:xf>
    <x:xf numFmtId="208" fontId="1" fillId="15" borderId="0" xfId="0" applyNumberFormat="1" applyFont="1" applyFill="1" applyBorder="1" applyAlignment="1">
      <x:alignment horizontal="right" vertical="center"/>
    </x:xf>
    <x:xf numFmtId="208" fontId="16" fillId="0" borderId="0" xfId="0" applyNumberFormat="1" applyFont="1" applyFill="1" applyBorder="1" applyAlignment="1">
      <x:alignment horizontal="right" vertical="center"/>
    </x:xf>
    <x:xf numFmtId="208" fontId="20" fillId="0" borderId="0" xfId="0" applyNumberFormat="1" applyFont="1" applyFill="1" applyBorder="1" applyAlignment="1">
      <x:alignment horizontal="right" vertical="center"/>
    </x:xf>
    <x:xf numFmtId="208" fontId="20" fillId="15" borderId="0" xfId="0" applyNumberFormat="1" applyFont="1" applyFill="1" applyBorder="1" applyAlignment="1">
      <x:alignment horizontal="right" vertical="center"/>
    </x:xf>
    <x:xf numFmtId="206" fontId="16" fillId="0" borderId="0" xfId="0" applyNumberFormat="1" applyFont="1" applyFill="1" applyBorder="1" applyAlignment="1">
      <x:alignment horizontal="right" vertical="center"/>
    </x:xf>
    <x:xf numFmtId="206" fontId="20" fillId="0" borderId="0" xfId="0" applyNumberFormat="1" applyFont="1" applyFill="1" applyBorder="1" applyAlignment="1">
      <x:alignment horizontal="right" vertical="center"/>
    </x:xf>
    <x:xf numFmtId="205" fontId="1" fillId="15" borderId="4" xfId="0" applyNumberFormat="1" applyFont="1" applyFill="1" applyBorder="1" applyAlignment="1">
      <x:alignment horizontal="right" vertical="center"/>
    </x:xf>
    <x:xf numFmtId="205" fontId="8" fillId="12" borderId="0" xfId="0" applyNumberFormat="1" applyFont="1" applyFill="1" applyBorder="1" applyAlignment="1">
      <x:alignment horizontal="right" vertical="center"/>
    </x:xf>
    <x:xf numFmtId="205" fontId="25" fillId="12" borderId="0" xfId="0" applyNumberFormat="1" applyFont="1" applyFill="1" applyBorder="1" applyAlignment="1">
      <x:alignment horizontal="right" vertical="center"/>
    </x:xf>
    <x:xf numFmtId="0" fontId="16" fillId="0" borderId="0" xfId="0" applyNumberFormat="1" applyFont="1" applyFill="1" applyBorder="1" applyAlignment="1">
      <x:alignment wrapText="1"/>
    </x:xf>
    <x:xf numFmtId="0" fontId="16" fillId="15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7" fontId="8" fillId="0" borderId="0" xfId="0" applyNumberFormat="1" applyFont="1" applyFill="1" applyBorder="1" applyAlignment="1">
      <x:alignment horizontal="right" vertical="center"/>
    </x:xf>
    <x:xf numFmtId="207" fontId="25" fillId="0" borderId="0" xfId="0" applyNumberFormat="1" applyFont="1" applyFill="1" applyBorder="1" applyAlignment="1">
      <x:alignment horizontal="right" vertical="center"/>
    </x:xf>
    <x:xf numFmtId="207" fontId="8" fillId="15" borderId="0" xfId="0" applyNumberFormat="1" applyFont="1" applyFill="1" applyBorder="1" applyAlignment="1">
      <x:alignment horizontal="right" vertical="center"/>
    </x:xf>
    <x:xf numFmtId="207" fontId="25" fillId="15" borderId="0" xfId="0" applyNumberFormat="1" applyFont="1" applyFill="1" applyBorder="1" applyAlignment="1">
      <x:alignment horizontal="right" vertical="center"/>
    </x:xf>
    <x:xf numFmtId="205" fontId="8" fillId="15" borderId="0" xfId="0" applyNumberFormat="1" applyFont="1" applyFill="1" applyBorder="1" applyAlignment="1">
      <x:alignment horizontal="right" vertical="center"/>
    </x:xf>
    <x:xf numFmtId="205" fontId="25" fillId="15" borderId="0" xfId="0" applyNumberFormat="1" applyFont="1" applyFill="1" applyBorder="1" applyAlignment="1">
      <x:alignment horizontal="right" vertical="center"/>
    </x:xf>
    <x:xf numFmtId="205" fontId="8" fillId="0" borderId="0" xfId="0" applyNumberFormat="1" applyFont="1" applyFill="1" applyBorder="1" applyAlignment="1">
      <x:alignment horizontal="right" vertical="center"/>
    </x:xf>
    <x:xf numFmtId="205" fontId="25" fillId="0" borderId="0" xfId="0" applyNumberFormat="1" applyFont="1" applyFill="1" applyBorder="1" applyAlignment="1">
      <x:alignment horizontal="right" vertical="center"/>
    </x:xf>
    <x:xf numFmtId="207" fontId="1" fillId="15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6" fontId="1" fillId="0" borderId="4" xfId="0" applyNumberFormat="1" applyFont="1" applyFill="1" applyBorder="1" applyAlignment="1">
      <x:alignment horizontal="right" vertical="center"/>
    </x:xf>
    <x:xf numFmtId="205" fontId="16" fillId="0" borderId="4" xfId="0" applyNumberFormat="1" applyFont="1" applyFill="1" applyBorder="1" applyAlignment="1">
      <x:alignment horizontal="right"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7" fillId="16" borderId="0" xfId="0" applyNumberFormat="1" applyFont="1" applyFill="1" applyBorder="1" applyAlignment="1">
      <x:alignment horizontal="right" vertical="center"/>
    </x:xf>
    <x:xf numFmtId="200" fontId="8" fillId="16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11aed98e94dd8" /><Relationship Type="http://schemas.openxmlformats.org/officeDocument/2006/relationships/theme" Target="/xl/theme/theme1.xml" Id="R127978555d6f497c" /><Relationship Type="http://schemas.openxmlformats.org/officeDocument/2006/relationships/sharedStrings" Target="/xl/sharedStrings.xml" Id="Rec1db77dc3544a46" /><Relationship Type="http://schemas.openxmlformats.org/officeDocument/2006/relationships/worksheet" Target="/xl/worksheets/sheet1.xml" Id="R3f283cb83cda4cd1" /><Relationship Type="http://schemas.openxmlformats.org/officeDocument/2006/relationships/worksheet" Target="/xl/worksheets/sheet2.xml" Id="Ref4b41d4219b47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43" hidden="0" customWidth="1"/>
    <x:col min="3" max="3" width="14" hidden="0" customWidth="1"/>
    <x:col min="4" max="4" width="20" hidden="0" customWidth="1"/>
    <x:col min="5" max="5" width="23" hidden="0" customWidth="1"/>
    <x:col min="6" max="6" width="3" hidden="0" customWidth="1"/>
    <x:col min="7" max="7" width="77" hidden="0" customWidth="1"/>
    <x:col min="8" max="8" width="3" hidden="0" customWidth="1"/>
  </x:cols>
  <x:sheetData>
    <x:row r="1" ht="33" customHeight="1">
      <x:c r="A1" s="2"/>
      <x:c r="B1" s="10" t="str">
        <x:v>AI PRODUCTIVITY &amp; ENTERPRISE SEAT ECONOMICS | 2030 ILLUSTRATION</x:v>
      </x:c>
      <x:c r="C1" s="10"/>
      <x:c r="D1" s="10"/>
      <x:c r="E1" s="10"/>
      <x:c r="F1" s="10"/>
      <x:c r="G1" s="10"/>
      <x:c r="H1" s="2"/>
    </x:row>
    <x:row r="2" ht="25" customHeight="1">
      <x:c r="A2" s="2"/>
      <x:c r="B2" s="15" t="str">
        <x:v>ONE-SHEET | Investment banking-style illustration | Inputs in blue; calculations in black | USD unless noted</x:v>
      </x:c>
      <x:c r="C2" s="15"/>
      <x:c r="D2" s="15"/>
      <x:c r="E2" s="15"/>
      <x:c r="F2" s="15"/>
      <x:c r="G2" s="15"/>
      <x:c r="H2" s="2"/>
    </x:row>
    <x:row r="3" ht="25" customHeight="1">
      <x:c r="A3" s="2"/>
      <x:c r="B3" s="227" t="str">
        <x:v>Important: U.S. / Global wage TAM values are rounded prior-model estimates. Seat counts below are ILLUSTRATIVE placeholders; replace before sharing externally.</x:v>
      </x:c>
      <x:c r="C3" s="227"/>
      <x:c r="D3" s="227"/>
      <x:c r="E3" s="227"/>
      <x:c r="F3" s="227"/>
      <x:c r="G3" s="227"/>
      <x:c r="H3" s="2"/>
    </x:row>
    <x:row r="4" ht="21" customHeight="1">
      <x:c r="A4" s="2"/>
      <x:c r="B4" s="4"/>
      <x:c r="C4" s="4"/>
      <x:c r="D4" s="4"/>
      <x:c r="E4" s="4"/>
      <x:c r="F4" s="4"/>
      <x:c r="G4" s="4"/>
      <x:c r="H4" s="2"/>
    </x:row>
    <x:row r="5" ht="23" customHeight="1">
      <x:c r="A5" s="2"/>
      <x:c r="B5" s="23" t="str">
        <x:v>01 | EXISTING MODEL INPUTS — PREVIOUSLY ESTIMATED TAM</x:v>
      </x:c>
      <x:c r="C5" s="23"/>
      <x:c r="D5" s="23"/>
      <x:c r="E5" s="23"/>
      <x:c r="F5" s="23"/>
      <x:c r="G5" s="23"/>
      <x:c r="H5" s="2"/>
    </x:row>
    <x:row r="6" ht="25" customHeight="1">
      <x:c r="A6" s="2"/>
      <x:c r="B6" s="28" t="str">
        <x:v>Metric</x:v>
      </x:c>
      <x:c r="C6" s="29" t="str">
        <x:v>Unit</x:v>
      </x:c>
      <x:c r="D6" s="29" t="str">
        <x:v>United States</x:v>
      </x:c>
      <x:c r="E6" s="29" t="str">
        <x:v>Global ex-China (incl. U.S.)</x:v>
      </x:c>
      <x:c r="F6" s="28"/>
      <x:c r="G6" s="28" t="str">
        <x:v>Definition / modeling note</x:v>
      </x:c>
      <x:c r="H6" s="2"/>
    </x:row>
    <x:row r="7" ht="32" customHeight="1">
      <x:c r="A7" s="2"/>
      <x:c r="B7" s="4" t="str">
        <x:v>AI-exposed labor income TAM</x:v>
      </x:c>
      <x:c r="C7" s="38" t="str">
        <x:v>$bn</x:v>
      </x:c>
      <x:c r="D7" s="44" t="n">
        <x:v>5300</x:v>
      </x:c>
      <x:c r="E7" s="44" t="n">
        <x:v>14000</x:v>
      </x:c>
      <x:c r="F7" s="4"/>
      <x:c r="G7" s="36" t="str">
        <x:v>Existing 2030 wage-pool estimate. Exposure was already applied in the original bottom-up U.S. model; do NOT multiply task exposure again.</x:v>
      </x:c>
      <x:c r="H7" s="2"/>
    </x:row>
    <x:row r="8" ht="36" customHeight="1">
      <x:c r="A8" s="2"/>
      <x:c r="B8" s="228" t="str">
        <x:v>Potential AI-exposed employee seats</x:v>
      </x:c>
      <x:c r="C8" s="229" t="str">
        <x:v>million</x:v>
      </x:c>
      <x:c r="D8" s="230" t="n">
        <x:v>100</x:v>
      </x:c>
      <x:c r="E8" s="230" t="n">
        <x:v>400</x:v>
      </x:c>
      <x:c r="F8" s="4"/>
      <x:c r="G8" s="36" t="str">
        <x:v>PLACEHOLDER ONLY: employees in AI-exposed occupations, not paying customers. Replace with the exposed headcount you calculated using a consistent threshold.</x:v>
      </x:c>
      <x:c r="H8" s="2"/>
    </x:row>
    <x:row r="9" ht="36" customHeight="1">
      <x:c r="A9" s="2"/>
      <x:c r="B9" s="228" t="str">
        <x:v>Exposure-weighted employees</x:v>
      </x:c>
      <x:c r="C9" s="229" t="str">
        <x:v>million</x:v>
      </x:c>
      <x:c r="D9" s="230" t="n">
        <x:v>40</x:v>
      </x:c>
      <x:c r="E9" s="230" t="n">
        <x:v>160</x:v>
      </x:c>
      <x:c r="F9" s="4"/>
      <x:c r="G9" s="36" t="str">
        <x:v>PLACEHOLDER ONLY: sum of employees × exposure score. This is NOT actual headcount or proven automated FTE; do not label as paying seats.</x:v>
      </x:c>
      <x:c r="H9" s="2"/>
    </x:row>
    <x:row r="10" ht="34" customHeight="1">
      <x:c r="A10" s="2"/>
      <x:c r="B10" s="4" t="str">
        <x:v>Required annual AI revenue hurdle</x:v>
      </x:c>
      <x:c r="C10" s="38" t="str">
        <x:v>$bn</x:v>
      </x:c>
      <x:c r="D10" s="50"/>
      <x:c r="E10" s="50"/>
      <x:c r="F10" s="4"/>
      <x:c r="G10" s="36" t="str">
        <x:v>OPTIONAL: paste your existing CapEx-based annual required revenue here, in a geography-consistent way. Blank outputs remain blank.</x:v>
      </x:c>
      <x:c r="H10" s="2"/>
    </x:row>
    <x:row r="11" ht="21" customHeight="1">
      <x:c r="A11" s="2"/>
      <x:c r="B11" s="4"/>
      <x:c r="C11" s="6"/>
      <x:c r="D11" s="6"/>
      <x:c r="E11" s="6"/>
      <x:c r="F11" s="4"/>
      <x:c r="G11" s="4"/>
      <x:c r="H11" s="2"/>
    </x:row>
    <x:row r="12" ht="23" customHeight="1">
      <x:c r="A12" s="2"/>
      <x:c r="B12" s="23" t="str">
        <x:v>02 | ECONOMIC VALUE AND SEAT PRICING ASSUMPTIONS</x:v>
      </x:c>
      <x:c r="C12" s="53"/>
      <x:c r="D12" s="53"/>
      <x:c r="E12" s="53"/>
      <x:c r="F12" s="23"/>
      <x:c r="G12" s="23"/>
      <x:c r="H12" s="2"/>
    </x:row>
    <x:row r="13" ht="25" customHeight="1">
      <x:c r="A13" s="2"/>
      <x:c r="B13" s="28" t="str">
        <x:v>Assumption</x:v>
      </x:c>
      <x:c r="C13" s="29" t="str">
        <x:v>Unit</x:v>
      </x:c>
      <x:c r="D13" s="29" t="str">
        <x:v>United States</x:v>
      </x:c>
      <x:c r="E13" s="29" t="str">
        <x:v>Global ex-China</x:v>
      </x:c>
      <x:c r="F13" s="28"/>
      <x:c r="G13" s="28" t="str">
        <x:v>Meaning / source</x:v>
      </x:c>
      <x:c r="H13" s="2"/>
    </x:row>
    <x:row r="14" ht="38" customHeight="1">
      <x:c r="A14" s="2"/>
      <x:c r="B14" s="4" t="str">
        <x:v>Economically viable share of exposed tasks</x:v>
      </x:c>
      <x:c r="C14" s="38" t="str">
        <x:v>%</x:v>
      </x:c>
      <x:c r="D14" s="56" t="n">
        <x:v>0.23</x:v>
      </x:c>
      <x:c r="E14" s="56" t="n">
        <x:v>0.23</x:v>
      </x:c>
      <x:c r="F14" s="4"/>
      <x:c r="G14" s="36" t="str">
        <x:v>PWBM 2025: ~23% of technologically exposed tasks assumed eventually feasible and profitable to automate. This is a LONG-RUN assumption, not 2030 observed utilization.</x:v>
      </x:c>
      <x:c r="H14" s="2"/>
    </x:row>
    <x:row r="15" ht="41" customHeight="1">
      <x:c r="A15" s="2"/>
      <x:c r="B15" s="4" t="str">
        <x:v>Utilization of viable exposed work (2030)</x:v>
      </x:c>
      <x:c r="C15" s="38" t="str">
        <x:v>%</x:v>
      </x:c>
      <x:c r="D15" s="56" t="n">
        <x:v>0.5</x:v>
      </x:c>
      <x:c r="E15" s="56" t="n">
        <x:v>0.5</x:v>
      </x:c>
      <x:c r="F15" s="4"/>
      <x:c r="G15" s="36" t="str">
        <x:v>Editable SCENARIO: portion of the economically viable task opportunity actually deployed / used productively by 2030; conditional on viability (row 14). NOT the share of workers buying seats.</x:v>
      </x:c>
      <x:c r="H15" s="2"/>
    </x:row>
    <x:row r="16" ht="39" customHeight="1">
      <x:c r="A16" s="2"/>
      <x:c r="B16" s="4" t="str">
        <x:v>Labor cost saving on utilized tasks</x:v>
      </x:c>
      <x:c r="C16" s="38" t="str">
        <x:v>%</x:v>
      </x:c>
      <x:c r="D16" s="56" t="n">
        <x:v>0.25</x:v>
      </x:c>
      <x:c r="E16" s="56" t="n">
        <x:v>0.25</x:v>
      </x:c>
      <x:c r="F16" s="4"/>
      <x:c r="G16" s="36" t="str">
        <x:v>PWBM benchmark ~25% labor cost saving on adopted task activity. This captures productivity in monetary terms; do NOT multiply by a separate productivity uplift again.</x:v>
      </x:c>
      <x:c r="H16" s="2"/>
    </x:row>
    <x:row r="17" ht="35" customHeight="1">
      <x:c r="A17" s="2"/>
      <x:c r="B17" s="4" t="str">
        <x:v>Economic value captured by AI vendors</x:v>
      </x:c>
      <x:c r="C17" s="38" t="str">
        <x:v>%</x:v>
      </x:c>
      <x:c r="D17" s="56" t="n">
        <x:v>0.5</x:v>
      </x:c>
      <x:c r="E17" s="56" t="n">
        <x:v>0.5</x:v>
      </x:c>
      <x:c r="F17" s="4"/>
      <x:c r="G17" s="36" t="str">
        <x:v>Illustrative vendor share of economic benefit ('split the difference'). NOT a PWBM parameter and NOT necessarily subscription revenue.</x:v>
      </x:c>
      <x:c r="H17" s="2"/>
    </x:row>
    <x:row r="18" ht="38" customHeight="1">
      <x:c r="A18" s="2"/>
      <x:c r="B18" s="4" t="str">
        <x:v>Paid enterprise seat penetration</x:v>
      </x:c>
      <x:c r="C18" s="38" t="str">
        <x:v>%</x:v>
      </x:c>
      <x:c r="D18" s="56" t="n">
        <x:v>0.3</x:v>
      </x:c>
      <x:c r="E18" s="56" t="n">
        <x:v>0.3</x:v>
      </x:c>
      <x:c r="F18" s="4"/>
      <x:c r="G18" s="36" t="str">
        <x:v>Separate commercial assumption: % of potential exposed workers (row 8) who are paying enterprise AI seats. Different from task utilization (row 15).</x:v>
      </x:c>
      <x:c r="H18" s="2"/>
    </x:row>
    <x:row r="19" ht="38" customHeight="1">
      <x:c r="A19" s="2"/>
      <x:c r="B19" s="4" t="str">
        <x:v>Enterprise price per paying seat (annual)</x:v>
      </x:c>
      <x:c r="C19" s="38" t="str">
        <x:v>$/seat/yr</x:v>
      </x:c>
      <x:c r="D19" s="58" t="n">
        <x:v>1200</x:v>
      </x:c>
      <x:c r="E19" s="58" t="n">
        <x:v>1200</x:v>
      </x:c>
      <x:c r="F19" s="4"/>
      <x:c r="G19" s="36" t="str">
        <x:v>Illustrative paid enterprise price: $1,200 annually = $100 per month. AVERAGE blended paid-seat revenue (ARPU), not a verified price forecast.</x:v>
      </x:c>
      <x:c r="H19" s="2"/>
    </x:row>
    <x:row r="20" ht="21" customHeight="1">
      <x:c r="A20" s="2"/>
      <x:c r="B20" s="4"/>
      <x:c r="C20" s="6"/>
      <x:c r="D20" s="6"/>
      <x:c r="E20" s="6"/>
      <x:c r="F20" s="4"/>
      <x:c r="G20" s="4"/>
      <x:c r="H20" s="2"/>
    </x:row>
    <x:row r="21" ht="23" customHeight="1">
      <x:c r="A21" s="2"/>
      <x:c r="B21" s="23" t="str">
        <x:v>03 | MODEL OUTPUTS — TWO DISTINCT WAYS TO THINK ABOUT REVENUE</x:v>
      </x:c>
      <x:c r="C21" s="53"/>
      <x:c r="D21" s="53"/>
      <x:c r="E21" s="53"/>
      <x:c r="F21" s="23"/>
      <x:c r="G21" s="23"/>
      <x:c r="H21" s="2"/>
    </x:row>
    <x:row r="22" ht="24" customHeight="1">
      <x:c r="A22" s="2"/>
      <x:c r="B22" s="4" t="str">
        <x:v>Economically viable exposed wage pool</x:v>
      </x:c>
      <x:c r="C22" s="38" t="str">
        <x:v>$bn</x:v>
      </x:c>
      <x:c r="D22" s="60" t="n">
        <x:f>D7*D14</x:f>
        <x:v>1219</x:v>
      </x:c>
      <x:c r="E22" s="60" t="n">
        <x:f>E7*E14</x:f>
        <x:v>3220</x:v>
      </x:c>
      <x:c r="F22" s="4"/>
      <x:c r="G22" s="36" t="str">
        <x:v>Prior exposed wage TAM × viability. Still potential wage activity, not revenue.</x:v>
      </x:c>
      <x:c r="H22" s="2"/>
    </x:row>
    <x:row r="23" ht="25" customHeight="1">
      <x:c r="A23" s="2"/>
      <x:c r="B23" s="4" t="str">
        <x:v>Utilized exposed wage activity</x:v>
      </x:c>
      <x:c r="C23" s="38" t="str">
        <x:v>$bn</x:v>
      </x:c>
      <x:c r="D23" s="60" t="n">
        <x:f>D22*D15</x:f>
        <x:v>609.5</x:v>
      </x:c>
      <x:c r="E23" s="60" t="n">
        <x:f>E22*E15</x:f>
        <x:v>1610</x:v>
      </x:c>
      <x:c r="F23" s="4"/>
      <x:c r="G23" s="36" t="str">
        <x:v>Viable wage exposure × 2030 utilization. Assumes uniform scaling; sensitivity below tests this assumption.</x:v>
      </x:c>
      <x:c r="H23" s="2"/>
    </x:row>
    <x:row r="24" ht="32" customHeight="1">
      <x:c r="A24" s="2"/>
      <x:c r="B24" s="68" t="str">
        <x:v>Annual labor economic value</x:v>
      </x:c>
      <x:c r="C24" s="69" t="str">
        <x:v>$bn</x:v>
      </x:c>
      <x:c r="D24" s="70" t="n">
        <x:f>D23*D16</x:f>
        <x:v>152.375</x:v>
      </x:c>
      <x:c r="E24" s="70" t="n">
        <x:f>E23*E16</x:f>
        <x:v>402.5</x:v>
      </x:c>
      <x:c r="F24" s="4"/>
      <x:c r="G24" s="74" t="str">
        <x:v>Utilized wage activity × labor cost saving rate. Annualized economic benefit proxy; not necessarily realized layoff or cash savings.</x:v>
      </x:c>
      <x:c r="H24" s="2"/>
    </x:row>
    <x:row r="25" ht="32" customHeight="1">
      <x:c r="A25" s="2"/>
      <x:c r="B25" s="80" t="str">
        <x:v>Vendor revenue implied by value capture</x:v>
      </x:c>
      <x:c r="C25" s="81" t="str">
        <x:v>$bn</x:v>
      </x:c>
      <x:c r="D25" s="82" t="n">
        <x:f>D24*D17</x:f>
        <x:v>76.1875</x:v>
      </x:c>
      <x:c r="E25" s="82" t="n">
        <x:f>E24*E17</x:f>
        <x:v>201.25</x:v>
      </x:c>
      <x:c r="F25" s="4"/>
      <x:c r="G25" s="86" t="str">
        <x:v>TOP-DOWN monetization scenario: economic value × vendor capture. Do not add this to the seat-price-based estimate below.</x:v>
      </x:c>
      <x:c r="H25" s="2"/>
    </x:row>
    <x:row r="26" ht="31" customHeight="1">
      <x:c r="A26" s="2"/>
      <x:c r="B26" s="4" t="str">
        <x:v>Paying enterprise AI seats</x:v>
      </x:c>
      <x:c r="C26" s="38" t="str">
        <x:v>million</x:v>
      </x:c>
      <x:c r="D26" s="60" t="n">
        <x:f>D8*D18</x:f>
        <x:v>30</x:v>
      </x:c>
      <x:c r="E26" s="60" t="n">
        <x:f>E8*E18</x:f>
        <x:v>120</x:v>
      </x:c>
      <x:c r="F26" s="4"/>
      <x:c r="G26" s="36" t="str">
        <x:v>Potential worker seats × paid-seat penetration. Illustrative: seat-count inputs are placeholders until replaced.</x:v>
      </x:c>
      <x:c r="H26" s="2"/>
    </x:row>
    <x:row r="27" ht="35" customHeight="1">
      <x:c r="A27" s="2"/>
      <x:c r="B27" s="68" t="str">
        <x:v>Enterprise AI subscription revenue</x:v>
      </x:c>
      <x:c r="C27" s="69" t="str">
        <x:v>$bn</x:v>
      </x:c>
      <x:c r="D27" s="70" t="n">
        <x:f>D26*D19/1000</x:f>
        <x:v>36</x:v>
      </x:c>
      <x:c r="E27" s="70" t="n">
        <x:f>E26*E19/1000</x:f>
        <x:v>144</x:v>
      </x:c>
      <x:c r="F27" s="4"/>
      <x:c r="G27" s="74" t="str">
        <x:v>BOTTOM-UP seat model: millions of paying seats × annual USD/seat ÷ 1,000. Alternative estimate to vendor-capture revenue, NOT additive.</x:v>
      </x:c>
      <x:c r="H27" s="2"/>
    </x:row>
    <x:row r="28" ht="34" customHeight="1">
      <x:c r="A28" s="2"/>
      <x:c r="B28" s="4" t="str">
        <x:v>Seat revenue / economic value</x:v>
      </x:c>
      <x:c r="C28" s="38" t="str">
        <x:v>%</x:v>
      </x:c>
      <x:c r="D28" s="88" t="n">
        <x:f>IF(D24=0,"",D27/D24)</x:f>
        <x:v>0.23625922887612796</x:v>
      </x:c>
      <x:c r="E28" s="88" t="n">
        <x:f>IF(E24=0,"",E27/E24)</x:f>
        <x:v>0.3577639751552795</x:v>
      </x:c>
      <x:c r="F28" s="4"/>
      <x:c r="G28" s="36" t="str">
        <x:v>Implied monetization share on task-based economic benefit. Compares two assumptions; values may exceed 100% if enterprise pricing is high.</x:v>
      </x:c>
      <x:c r="H28" s="2"/>
    </x:row>
    <x:row r="29" ht="35" customHeight="1">
      <x:c r="A29" s="2"/>
      <x:c r="B29" s="4" t="str">
        <x:v>Value-capture implied price per paid seat</x:v>
      </x:c>
      <x:c r="C29" s="38" t="str">
        <x:v>$/seat/yr</x:v>
      </x:c>
      <x:c r="D29" s="90" t="n">
        <x:f>IF(D26=0,"",D25*1000/D26)</x:f>
        <x:v>2539.5833333333335</x:v>
      </x:c>
      <x:c r="E29" s="90" t="n">
        <x:f>IF(E26=0,"",E25*1000/E26)</x:f>
        <x:v>1677.0833333333333</x:v>
      </x:c>
      <x:c r="F29" s="4"/>
      <x:c r="G29" s="36" t="str">
        <x:v>Annual vendor value-capture revenue / paid seats. Compare with your actual pricing input (row 19); not an observed willingness-to-pay estimate.</x:v>
      </x:c>
      <x:c r="H29" s="2"/>
    </x:row>
    <x:row r="30" ht="35" customHeight="1">
      <x:c r="A30" s="2"/>
      <x:c r="B30" s="4" t="str">
        <x:v>Required CapEx revenue / potential seat</x:v>
      </x:c>
      <x:c r="C30" s="38" t="str">
        <x:v>$/seat/yr</x:v>
      </x:c>
      <x:c r="D30" s="90" t="str">
        <x:f>IF(OR(D10="",D8=0),"",D10*1000/D8)</x:f>
      </x:c>
      <x:c r="E30" s="90" t="str">
        <x:f>IF(OR(E10="",E8=0),"",E10*1000/E8)</x:f>
      </x:c>
      <x:c r="F30" s="4"/>
      <x:c r="G30" s="36" t="str">
        <x:v>Optional: annual CapEx revenue hurdle / all potentially exposed worker seats. Blank until row 10 is supplied.</x:v>
      </x:c>
      <x:c r="H30" s="2"/>
    </x:row>
    <x:row r="31" ht="36" customHeight="1">
      <x:c r="A31" s="2"/>
      <x:c r="B31" s="4" t="str">
        <x:v>Required CapEx revenue / paying seat</x:v>
      </x:c>
      <x:c r="C31" s="38" t="str">
        <x:v>$/seat/yr</x:v>
      </x:c>
      <x:c r="D31" s="90" t="str">
        <x:f>IF(OR(D10="",D26=0),"",D10*1000/D26)</x:f>
      </x:c>
      <x:c r="E31" s="90" t="str">
        <x:f>IF(OR(E10="",E26=0),"",E10*1000/E26)</x:f>
      </x:c>
      <x:c r="F31" s="4"/>
      <x:c r="G31" s="36" t="str">
        <x:v>Optional: annual CapEx revenue hurdle / assumed paying enterprise seats; assumes all hurdle borne by seats within this geography.</x:v>
      </x:c>
      <x:c r="H31" s="2"/>
    </x:row>
    <x:row r="32" ht="30" customHeight="1">
      <x:c r="A32" s="2"/>
      <x:c r="B32" s="4" t="str">
        <x:v>Enterprise revenue / CapEx hurdle</x:v>
      </x:c>
      <x:c r="C32" s="38" t="str">
        <x:v>x</x:v>
      </x:c>
      <x:c r="D32" s="92" t="str">
        <x:f>IF(OR(D10="",D10=0),"",D27/D10)</x:f>
      </x:c>
      <x:c r="E32" s="92" t="str">
        <x:f>IF(OR(E10="",E10=0),"",E27/E10)</x:f>
      </x:c>
      <x:c r="F32" s="4"/>
      <x:c r="G32" s="36" t="str">
        <x:v>Optional: subscription revenue / required annual infrastructure revenue. Does not include other revenue categories.</x:v>
      </x:c>
      <x:c r="H32" s="2"/>
    </x:row>
    <x:row r="33" ht="21" customHeight="1">
      <x:c r="A33" s="2"/>
      <x:c r="B33" s="4"/>
      <x:c r="C33" s="6"/>
      <x:c r="D33" s="6"/>
      <x:c r="E33" s="6"/>
      <x:c r="F33" s="4"/>
      <x:c r="G33" s="4"/>
      <x:c r="H33" s="2"/>
    </x:row>
    <x:row r="34" ht="23" customHeight="1">
      <x:c r="A34" s="2"/>
      <x:c r="B34" s="23" t="str">
        <x:v>04 | FORMULA BRIDGE / IMPORTANT DEFINITIONS</x:v>
      </x:c>
      <x:c r="C34" s="53"/>
      <x:c r="D34" s="53"/>
      <x:c r="E34" s="53"/>
      <x:c r="F34" s="23"/>
      <x:c r="G34" s="23"/>
      <x:c r="H34" s="2"/>
    </x:row>
    <x:row r="35" ht="26" customHeight="1">
      <x:c r="A35" s="2"/>
      <x:c r="B35" s="95" t="str">
        <x:v>ECONOMIC VALUE = Existing Exposed Wage TAM × Viability × 2030 Task Utilization × Task-Level Labor Cost Savings</x:v>
      </x:c>
      <x:c r="C35" s="96"/>
      <x:c r="D35" s="96"/>
      <x:c r="E35" s="96"/>
      <x:c r="F35" s="95"/>
      <x:c r="G35" s="95"/>
      <x:c r="H35" s="2"/>
    </x:row>
    <x:row r="36" ht="26" customHeight="1">
      <x:c r="A36" s="2"/>
      <x:c r="B36" s="95" t="str">
        <x:v>SEAT REVENUE = Potential AI-Exposed Employees × Paid-Seat Penetration × Annual Enterprise Price per Paid Seat</x:v>
      </x:c>
      <x:c r="C36" s="96"/>
      <x:c r="D36" s="96"/>
      <x:c r="E36" s="96"/>
      <x:c r="F36" s="95"/>
      <x:c r="G36" s="95"/>
      <x:c r="H36" s="2"/>
    </x:row>
    <x:row r="37" ht="26" customHeight="1">
      <x:c r="A37" s="2"/>
      <x:c r="B37" s="102" t="str">
        <x:v>Exposure is technical task potential, not verified hours saved. Task utilization and paid-seat penetration are separate assumptions; do not double-count them.</x:v>
      </x:c>
      <x:c r="C37" s="103"/>
      <x:c r="D37" s="103"/>
      <x:c r="E37" s="103"/>
      <x:c r="F37" s="102"/>
      <x:c r="G37" s="102"/>
      <x:c r="H37" s="2"/>
    </x:row>
    <x:row r="38" ht="21" customHeight="1">
      <x:c r="A38" s="2"/>
      <x:c r="B38" s="4"/>
      <x:c r="C38" s="6"/>
      <x:c r="D38" s="6"/>
      <x:c r="E38" s="6"/>
      <x:c r="F38" s="4"/>
      <x:c r="G38" s="4"/>
      <x:c r="H38" s="2"/>
    </x:row>
    <x:row r="39" ht="23" customHeight="1">
      <x:c r="A39" s="2"/>
      <x:c r="B39" s="23" t="str">
        <x:v>05 | SENSITIVITY A — 2030 GLOBAL EX-CHINA ECONOMIC VALUE ($BN)</x:v>
      </x:c>
      <x:c r="C39" s="53"/>
      <x:c r="D39" s="53"/>
      <x:c r="E39" s="53"/>
      <x:c r="F39" s="23"/>
      <x:c r="G39" s="23"/>
      <x:c r="H39" s="2"/>
    </x:row>
    <x:row r="40" ht="23" customHeight="1">
      <x:c r="A40" s="2"/>
      <x:c r="B40" s="111" t="str">
        <x:v>Viable task utilization ↓ / cost saving →</x:v>
      </x:c>
      <x:c r="C40" s="112" t="n">
        <x:v>0.15</x:v>
      </x:c>
      <x:c r="D40" s="112" t="n">
        <x:v>0.25</x:v>
      </x:c>
      <x:c r="E40" s="112" t="n">
        <x:v>0.35</x:v>
      </x:c>
      <x:c r="F40" s="4"/>
      <x:c r="G40" s="36" t="str">
        <x:v>Base case at 50% utilization and 25% savings (outlined cell). Independent of seat penetration and price.</x:v>
      </x:c>
      <x:c r="H40" s="2"/>
    </x:row>
    <x:row r="41" ht="23" customHeight="1">
      <x:c r="A41" s="2"/>
      <x:c r="B41" s="118" t="n">
        <x:v>0.2</x:v>
      </x:c>
      <x:c r="C41" s="60" t="n">
        <x:f>$E$7*$E$14*$B41*C$40</x:f>
        <x:v>96.6</x:v>
      </x:c>
      <x:c r="D41" s="60" t="n">
        <x:f>$E$7*$E$14*$B41*D$40</x:f>
        <x:v>161</x:v>
      </x:c>
      <x:c r="E41" s="60" t="n">
        <x:f>$E$7*$E$14*$B41*E$40</x:f>
        <x:v>225.39999999999998</x:v>
      </x:c>
      <x:c r="F41" s="4"/>
      <x:c r="G41" s="36"/>
      <x:c r="H41" s="2"/>
    </x:row>
    <x:row r="42" ht="23" customHeight="1">
      <x:c r="A42" s="2"/>
      <x:c r="B42" s="118" t="n">
        <x:v>0.35</x:v>
      </x:c>
      <x:c r="C42" s="60" t="n">
        <x:f>$E$7*$E$14*$B42*C$40</x:f>
        <x:v>169.04999999999998</x:v>
      </x:c>
      <x:c r="D42" s="60" t="n">
        <x:f>$E$7*$E$14*$B42*D$40</x:f>
        <x:v>281.75</x:v>
      </x:c>
      <x:c r="E42" s="60" t="n">
        <x:f>$E$7*$E$14*$B42*E$40</x:f>
        <x:v>394.45</x:v>
      </x:c>
      <x:c r="F42" s="4"/>
      <x:c r="G42" s="36"/>
      <x:c r="H42" s="2"/>
    </x:row>
    <x:row r="43" ht="23" customHeight="1">
      <x:c r="A43" s="2"/>
      <x:c r="B43" s="118" t="n">
        <x:v>0.5</x:v>
      </x:c>
      <x:c r="C43" s="60" t="n">
        <x:f>$E$7*$E$14*$B43*C$40</x:f>
        <x:v>241.5</x:v>
      </x:c>
      <x:c r="D43" s="122" t="n">
        <x:f>$E$7*$E$14*$B43*D$40</x:f>
        <x:v>402.5</x:v>
      </x:c>
      <x:c r="E43" s="60" t="n">
        <x:f>$E$7*$E$14*$B43*E$40</x:f>
        <x:v>563.5</x:v>
      </x:c>
      <x:c r="F43" s="4"/>
      <x:c r="G43" s="36"/>
      <x:c r="H43" s="2"/>
    </x:row>
    <x:row r="44" ht="21" customHeight="1">
      <x:c r="A44" s="2"/>
      <x:c r="B44" s="118" t="n">
        <x:v>0.65</x:v>
      </x:c>
      <x:c r="C44" s="60" t="n">
        <x:f>$E$7*$E$14*$B44*C$40</x:f>
        <x:v>313.95</x:v>
      </x:c>
      <x:c r="D44" s="60" t="n">
        <x:f>$E$7*$E$14*$B44*D$40</x:f>
        <x:v>523.25</x:v>
      </x:c>
      <x:c r="E44" s="60" t="n">
        <x:f>$E$7*$E$14*$B44*E$40</x:f>
        <x:v>732.55</x:v>
      </x:c>
      <x:c r="F44" s="4"/>
      <x:c r="G44" s="4"/>
      <x:c r="H44" s="2"/>
    </x:row>
    <x:row r="45" ht="21" customHeight="1">
      <x:c r="A45" s="2"/>
      <x:c r="B45" s="118" t="n">
        <x:v>0.8</x:v>
      </x:c>
      <x:c r="C45" s="60" t="n">
        <x:f>$E$7*$E$14*$B45*C$40</x:f>
        <x:v>386.4</x:v>
      </x:c>
      <x:c r="D45" s="60" t="n">
        <x:f>$E$7*$E$14*$B45*D$40</x:f>
        <x:v>644</x:v>
      </x:c>
      <x:c r="E45" s="60" t="n">
        <x:f>$E$7*$E$14*$B45*E$40</x:f>
        <x:v>901.5999999999999</x:v>
      </x:c>
      <x:c r="F45" s="4"/>
      <x:c r="G45" s="4"/>
      <x:c r="H45" s="2"/>
    </x:row>
    <x:row r="46" ht="21" customHeight="1">
      <x:c r="A46" s="2"/>
      <x:c r="B46" s="4"/>
      <x:c r="C46" s="6"/>
      <x:c r="D46" s="6"/>
      <x:c r="E46" s="6"/>
      <x:c r="F46" s="4"/>
      <x:c r="G46" s="4"/>
      <x:c r="H46" s="2"/>
    </x:row>
    <x:row r="47" ht="23" customHeight="1">
      <x:c r="A47" s="2"/>
      <x:c r="B47" s="23" t="str">
        <x:v>06 | SENSITIVITY B — GLOBAL EX-CHINA ENTERPRISE SEAT REVENUE ($BN)</x:v>
      </x:c>
      <x:c r="C47" s="53"/>
      <x:c r="D47" s="53"/>
      <x:c r="E47" s="53"/>
      <x:c r="F47" s="23"/>
      <x:c r="G47" s="23"/>
      <x:c r="H47" s="2"/>
    </x:row>
    <x:row r="48" ht="27" customHeight="1">
      <x:c r="A48" s="2"/>
      <x:c r="B48" s="111" t="str">
        <x:v>Paid-seat penetration ↓ / price per seat →</x:v>
      </x:c>
      <x:c r="C48" s="127" t="n">
        <x:v>600</x:v>
      </x:c>
      <x:c r="D48" s="127" t="n">
        <x:v>1200</x:v>
      </x:c>
      <x:c r="E48" s="127" t="n">
        <x:v>1800</x:v>
      </x:c>
      <x:c r="F48" s="4"/>
      <x:c r="G48" s="36" t="str">
        <x:v>Base case at 30% paid-seat penetration and $1,200 annual price (outlined cell). Replace illustrative employee counts before publishing.</x:v>
      </x:c>
      <x:c r="H48" s="2"/>
    </x:row>
    <x:row r="49" ht="21" customHeight="1">
      <x:c r="A49" s="2"/>
      <x:c r="B49" s="118" t="n">
        <x:v>0.1</x:v>
      </x:c>
      <x:c r="C49" s="60" t="n">
        <x:f>$E$8*$B49*C$48/1000</x:f>
        <x:v>24</x:v>
      </x:c>
      <x:c r="D49" s="60" t="n">
        <x:f>$E$8*$B49*D$48/1000</x:f>
        <x:v>48</x:v>
      </x:c>
      <x:c r="E49" s="60" t="n">
        <x:f>$E$8*$B49*E$48/1000</x:f>
        <x:v>72</x:v>
      </x:c>
      <x:c r="F49" s="4"/>
      <x:c r="G49" s="36"/>
      <x:c r="H49" s="2"/>
    </x:row>
    <x:row r="50" ht="21" customHeight="1">
      <x:c r="A50" s="2"/>
      <x:c r="B50" s="118" t="n">
        <x:v>0.2</x:v>
      </x:c>
      <x:c r="C50" s="60" t="n">
        <x:f>$E$8*$B50*C$48/1000</x:f>
        <x:v>48</x:v>
      </x:c>
      <x:c r="D50" s="60" t="n">
        <x:f>$E$8*$B50*D$48/1000</x:f>
        <x:v>96</x:v>
      </x:c>
      <x:c r="E50" s="60" t="n">
        <x:f>$E$8*$B50*E$48/1000</x:f>
        <x:v>144</x:v>
      </x:c>
      <x:c r="F50" s="4"/>
      <x:c r="G50" s="36"/>
      <x:c r="H50" s="2"/>
    </x:row>
    <x:row r="51" ht="21" customHeight="1">
      <x:c r="A51" s="2"/>
      <x:c r="B51" s="118" t="n">
        <x:v>0.3</x:v>
      </x:c>
      <x:c r="C51" s="60" t="n">
        <x:f>$E$8*$B51*C$48/1000</x:f>
        <x:v>72</x:v>
      </x:c>
      <x:c r="D51" s="122" t="n">
        <x:f>$E$8*$B51*D$48/1000</x:f>
        <x:v>144</x:v>
      </x:c>
      <x:c r="E51" s="60" t="n">
        <x:f>$E$8*$B51*E$48/1000</x:f>
        <x:v>216</x:v>
      </x:c>
      <x:c r="F51" s="4"/>
      <x:c r="G51" s="36"/>
      <x:c r="H51" s="2"/>
    </x:row>
    <x:row r="52" ht="21" customHeight="1">
      <x:c r="A52" s="2"/>
      <x:c r="B52" s="118" t="n">
        <x:v>0.4</x:v>
      </x:c>
      <x:c r="C52" s="60" t="n">
        <x:f>$E$8*$B52*C$48/1000</x:f>
        <x:v>96</x:v>
      </x:c>
      <x:c r="D52" s="60" t="n">
        <x:f>$E$8*$B52*D$48/1000</x:f>
        <x:v>192</x:v>
      </x:c>
      <x:c r="E52" s="60" t="n">
        <x:f>$E$8*$B52*E$48/1000</x:f>
        <x:v>288</x:v>
      </x:c>
      <x:c r="F52" s="4"/>
      <x:c r="G52" s="36"/>
      <x:c r="H52" s="2"/>
    </x:row>
    <x:row r="53" ht="21" customHeight="1">
      <x:c r="A53" s="2"/>
      <x:c r="B53" s="118" t="n">
        <x:v>0.5</x:v>
      </x:c>
      <x:c r="C53" s="60" t="n">
        <x:f>$E$8*$B53*C$48/1000</x:f>
        <x:v>120</x:v>
      </x:c>
      <x:c r="D53" s="60" t="n">
        <x:f>$E$8*$B53*D$48/1000</x:f>
        <x:v>240</x:v>
      </x:c>
      <x:c r="E53" s="60" t="n">
        <x:f>$E$8*$B53*E$48/1000</x:f>
        <x:v>360</x:v>
      </x:c>
      <x:c r="F53" s="4"/>
      <x:c r="G53" s="4"/>
      <x:c r="H53" s="2"/>
    </x:row>
    <x:row r="54" ht="21" customHeight="1">
      <x:c r="A54" s="2"/>
      <x:c r="B54" s="4"/>
      <x:c r="C54" s="6"/>
      <x:c r="D54" s="6"/>
      <x:c r="E54" s="6"/>
      <x:c r="F54" s="4"/>
      <x:c r="G54" s="4"/>
      <x:c r="H54" s="2"/>
    </x:row>
    <x:row r="55" ht="23" customHeight="1">
      <x:c r="A55" s="2"/>
      <x:c r="B55" s="23" t="str">
        <x:v>07 | DATA SCIENTIST EXAMPLE — WHAT 60% EXPOSURE DOES / DOES NOT MEAN</x:v>
      </x:c>
      <x:c r="C55" s="53"/>
      <x:c r="D55" s="53"/>
      <x:c r="E55" s="53"/>
      <x:c r="F55" s="23"/>
      <x:c r="G55" s="23"/>
      <x:c r="H55" s="2"/>
    </x:row>
    <x:row r="56" ht="28" customHeight="1">
      <x:c r="A56" s="2"/>
      <x:c r="B56" s="4" t="str">
        <x:v>Illustrative data scientist annual salary</x:v>
      </x:c>
      <x:c r="C56" s="38" t="str">
        <x:v>$/year</x:v>
      </x:c>
      <x:c r="D56" s="130" t="n">
        <x:v>150000</x:v>
      </x:c>
      <x:c r="E56" s="6"/>
      <x:c r="F56" s="4"/>
      <x:c r="G56" s="36" t="str">
        <x:v>EXAMPLE ONLY. Wage and exposure below are illustrative, not a quoted estimate for a specific data scientist occupation.</x:v>
      </x:c>
      <x:c r="H56" s="2"/>
    </x:row>
    <x:row r="57" ht="38" customHeight="1">
      <x:c r="A57" s="2"/>
      <x:c r="B57" s="4" t="str">
        <x:v>Occupation-level AI task exposure score</x:v>
      </x:c>
      <x:c r="C57" s="38" t="str">
        <x:v>%</x:v>
      </x:c>
      <x:c r="D57" s="132" t="n">
        <x:v>0.6</x:v>
      </x:c>
      <x:c r="E57" s="6"/>
      <x:c r="F57" s="4"/>
      <x:c r="G57" s="36" t="str">
        <x:v>60% is PWBM-style technical task-potential score (averaged task categories), NOT proof that 60% of employee hours are replaced or saved.</x:v>
      </x:c>
      <x:c r="H57" s="2"/>
    </x:row>
    <x:row r="58" ht="26" customHeight="1">
      <x:c r="A58" s="2"/>
      <x:c r="B58" s="4" t="str">
        <x:v>Illustrative AI-exposed wage proxy</x:v>
      </x:c>
      <x:c r="C58" s="38" t="str">
        <x:v>$/year</x:v>
      </x:c>
      <x:c r="D58" s="90" t="n">
        <x:f>D56*D57</x:f>
        <x:v>90000</x:v>
      </x:c>
      <x:c r="E58" s="6"/>
      <x:c r="F58" s="4"/>
      <x:c r="G58" s="36" t="str">
        <x:v>Annual salary × occupation-level exposure score. Conceptual exposed labor income, not realized productivity gains.</x:v>
      </x:c>
      <x:c r="H58" s="2"/>
    </x:row>
    <x:row r="59" ht="33" customHeight="1">
      <x:c r="A59" s="2"/>
      <x:c r="B59" s="62" t="str">
        <x:v>Potential economic value with assumptions</x:v>
      </x:c>
      <x:c r="C59" s="63" t="str">
        <x:v>$/year</x:v>
      </x:c>
      <x:c r="D59" s="134" t="n">
        <x:f>D58*D14*D15*D16</x:f>
        <x:v>2587.5</x:v>
      </x:c>
      <x:c r="E59" s="135"/>
      <x:c r="F59" s="4"/>
      <x:c r="G59" s="36" t="str">
        <x:v>Exposed wage proxy × U.S. viability × U.S. utilization × U.S. labor cost saving. Illustrative annual gross economic value.</x:v>
      </x:c>
      <x:c r="H59" s="2"/>
    </x:row>
    <x:row r="60" ht="30" customHeight="1">
      <x:c r="A60" s="2"/>
      <x:c r="B60" s="4" t="str">
        <x:v>Potential AI vendor value capture</x:v>
      </x:c>
      <x:c r="C60" s="38" t="str">
        <x:v>$/year</x:v>
      </x:c>
      <x:c r="D60" s="90" t="n">
        <x:f>D59*D17</x:f>
        <x:v>1293.75</x:v>
      </x:c>
      <x:c r="E60" s="6"/>
      <x:c r="F60" s="4"/>
      <x:c r="G60" s="36" t="str">
        <x:v>Illustrative potential vendor share of economic value, not observable subscription pricing or invoice paid.</x:v>
      </x:c>
      <x:c r="H60" s="2"/>
    </x:row>
    <x:row r="61" ht="21" customHeight="1">
      <x:c r="A61" s="2"/>
      <x:c r="B61" s="4"/>
      <x:c r="C61" s="6"/>
      <x:c r="D61" s="6"/>
      <x:c r="E61" s="6"/>
      <x:c r="F61" s="4"/>
      <x:c r="G61" s="4"/>
      <x:c r="H61" s="2"/>
    </x:row>
    <x:row r="62" ht="23" customHeight="1">
      <x:c r="A62" s="2"/>
      <x:c r="B62" s="23" t="str">
        <x:v>08 | SOURCE AND SCOPE NOTES</x:v>
      </x:c>
      <x:c r="C62" s="53"/>
      <x:c r="D62" s="53"/>
      <x:c r="E62" s="53"/>
      <x:c r="F62" s="23"/>
      <x:c r="G62" s="23"/>
      <x:c r="H62" s="2"/>
    </x:row>
    <x:row r="63" ht="23" customHeight="1">
      <x:c r="A63" s="2"/>
      <x:c r="B63" s="138" t="str">
        <x:v>PWBM 2025: The Projected Impact of Generative AI on Future Productivity Growth — full definitions and 23% / 25% assumptions</x:v>
      </x:c>
      <x:c r="C63" s="138"/>
      <x:c r="D63" s="138"/>
      <x:c r="E63" s="138"/>
      <x:c r="F63" s="138"/>
      <x:c r="G63" s="138"/>
      <x:c r="H63" s="2"/>
    </x:row>
    <x:row r="64" ht="22" customHeight="1">
      <x:c r="A64" s="2"/>
      <x:c r="B64" s="140" t="str">
        <x:v>https://budgetmodel.wharton.upenn.edu/p/2025-09-08-the-projected-impact-of-generative-ai-on-future-productivity-growth/</x:v>
      </x:c>
      <x:c r="C64" s="140"/>
      <x:c r="D64" s="140"/>
      <x:c r="E64" s="140"/>
      <x:c r="F64" s="140"/>
      <x:c r="G64" s="140"/>
      <x:c r="H64" s="2"/>
    </x:row>
    <x:row r="65" ht="25" customHeight="1">
      <x:c r="A65" s="2"/>
      <x:c r="B65" s="142" t="str">
        <x:v>Model scope: 2030 annualized illustrative labor-value / enterprise seats; NOT Wharton's published aggregate TFP forecast or an independent AI revenue projection.</x:v>
      </x:c>
      <x:c r="C65" s="142"/>
      <x:c r="D65" s="142"/>
      <x:c r="E65" s="142"/>
      <x:c r="F65" s="142"/>
      <x:c r="G65" s="142"/>
      <x:c r="H65" s="2"/>
    </x:row>
    <x:row r="66" ht="25" customHeight="1">
      <x:c r="A66" s="2"/>
      <x:c r="B66" s="142" t="str">
        <x:v>Country caveat: Global ex-China includes the U.S.; using U.S. exposure outside the U.S. does not account for occupation mix, wage structure, or adoption differences within regions.</x:v>
      </x:c>
      <x:c r="C66" s="142"/>
      <x:c r="D66" s="142"/>
      <x:c r="E66" s="142"/>
      <x:c r="F66" s="142"/>
      <x:c r="G66" s="142"/>
      <x:c r="H66" s="2"/>
    </x:row>
    <x:row r="67" ht="25" customHeight="1">
      <x:c r="A67" s="2"/>
      <x:c r="B67" s="34" t="str">
        <x:v>Blue = editable / previous model | Yellow fill = key assumption or placeholder | Black = formula | Bordered cells = sensitivity base case</x:v>
      </x:c>
      <x:c r="C67" s="34"/>
      <x:c r="D67" s="34"/>
      <x:c r="E67" s="34"/>
      <x:c r="F67" s="34"/>
      <x:c r="G67" s="34"/>
      <x:c r="H67" s="2"/>
    </x:row>
    <x:row r="68" ht="21" customHeight="1">
      <x:c r="A68" s="2"/>
      <x:c r="B68" s="4"/>
      <x:c r="C68" s="4"/>
      <x:c r="D68" s="4"/>
      <x:c r="E68" s="4"/>
      <x:c r="F68" s="4"/>
      <x:c r="G68" s="4"/>
      <x:c r="H68" s="2"/>
    </x:row>
    <x:row r="69" ht="21" customHeight="1">
      <x:c r="A69" s="2"/>
      <x:c r="B69" s="4"/>
      <x:c r="C69" s="4"/>
      <x:c r="D69" s="4"/>
      <x:c r="E69" s="4"/>
      <x:c r="F69" s="4"/>
      <x:c r="G69" s="4"/>
      <x:c r="H69" s="2"/>
    </x:row>
    <x:row r="70" ht="21" customHeight="1">
      <x:c r="A70" s="2"/>
      <x:c r="B70" s="4"/>
      <x:c r="C70" s="4"/>
      <x:c r="D70" s="4"/>
      <x:c r="E70" s="4"/>
      <x:c r="F70" s="4"/>
      <x:c r="G70" s="4"/>
      <x:c r="H70" s="2"/>
    </x:row>
  </x:sheetData>
  <x:mergeCells>
    <x:mergeCell ref="B1:G1"/>
    <x:mergeCell ref="B2:G2"/>
    <x:mergeCell ref="B3:G3"/>
    <x:mergeCell ref="B5:G5"/>
    <x:mergeCell ref="B12:G12"/>
    <x:mergeCell ref="B21:G21"/>
    <x:mergeCell ref="B34:G34"/>
    <x:mergeCell ref="B35:G35"/>
    <x:mergeCell ref="B36:G36"/>
    <x:mergeCell ref="B37:G37"/>
    <x:mergeCell ref="B39:G39"/>
    <x:mergeCell ref="B47:G47"/>
    <x:mergeCell ref="B55:G55"/>
    <x:mergeCell ref="B62:G62"/>
    <x:mergeCell ref="B63:G63"/>
    <x:mergeCell ref="B64:G64"/>
    <x:mergeCell ref="B65:G65"/>
    <x:mergeCell ref="B66:G66"/>
    <x:mergeCell ref="B67:G67"/>
  </x:mergeCells>
  <x:conditionalFormatting sqref="C41:E45">
    <x:cfRule type="colorScale" priority="1">
      <x:colorScale>
        <x:cfvo type="min"/>
        <x:cfvo type="percentile" val="50"/>
        <x:cfvo type="max"/>
        <x:color rgb="FFF5F7F9"/>
        <x:color rgb="FFE0E9EF"/>
        <x:color rgb="FFC4D7E5"/>
      </x:colorScale>
    </x:cfRule>
  </x:conditionalFormatting>
  <x:conditionalFormatting sqref="C49:E53">
    <x:cfRule type="colorScale" priority="2">
      <x:colorScale>
        <x:cfvo type="min"/>
        <x:cfvo type="percentile" val="50"/>
        <x:cfvo type="max"/>
        <x:color rgb="FFF5F7F9"/>
        <x:color rgb="FFE0E9EF"/>
        <x:color rgb="FFC4D7E5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7" hidden="0" customWidth="1"/>
    <x:col min="3" max="3" width="12" hidden="0" customWidth="1"/>
    <x:col min="4" max="4" width="19" hidden="0" customWidth="1"/>
    <x:col min="5" max="5" width="25" hidden="0" customWidth="1"/>
    <x:col min="6" max="6" width="63" hidden="0" customWidth="1"/>
    <x:col min="7" max="7" width="26" hidden="0" customWidth="1"/>
    <x:col min="8" max="8" width="40" hidden="0" customWidth="1"/>
  </x:cols>
  <x:sheetData>
    <x:row r="1" ht="40" customHeight="1">
      <x:c r="B1" s="149" t="str">
        <x:v>AI MONETIZATION | ROI FOOTBALL FIELD — 2030</x:v>
      </x:c>
      <x:c r="C1" s="149"/>
      <x:c r="D1" s="149"/>
      <x:c r="E1" s="149"/>
      <x:c r="F1" s="149"/>
      <x:c r="G1" s="149"/>
      <x:c r="H1" s="149"/>
    </x:row>
    <x:row r="2" ht="26" customHeight="1">
      <x:c r="B2" s="152" t="str">
        <x:v>Keith / Case working summary  •  Economic value vs. vendor monetization vs. infrastructure revenue hurdle  •  USD bn, unless noted</x:v>
      </x:c>
      <x:c r="C2" s="152"/>
      <x:c r="D2" s="152"/>
      <x:c r="E2" s="152"/>
      <x:c r="F2" s="152"/>
      <x:c r="G2" s="152"/>
      <x:c r="H2" s="152"/>
    </x:row>
    <x:row r="3" ht="28" customHeight="1">
      <x:c r="B3" s="155" t="str">
        <x:v>CONTROL: Global ex-China INCLUDES the United States. Inputs with yellow fill are illustrative or must be replaced with your model. No aggregate addition across TAM, value, and revenue.</x:v>
      </x:c>
      <x:c r="C3" s="155"/>
      <x:c r="D3" s="155"/>
      <x:c r="E3" s="155"/>
      <x:c r="F3" s="155"/>
      <x:c r="G3" s="155"/>
      <x:c r="H3" s="155"/>
    </x:row>
    <x:row r="4">
      <x:c r="B4" s="146"/>
      <x:c r="C4" s="146"/>
      <x:c r="D4" s="146"/>
      <x:c r="E4" s="146"/>
      <x:c r="F4" s="146"/>
      <x:c r="G4" s="146"/>
      <x:c r="H4" s="146"/>
    </x:row>
    <x:row r="5" ht="26" customHeight="1">
      <x:c r="B5" s="158" t="str">
        <x:v>Metric</x:v>
      </x:c>
      <x:c r="C5" s="158" t="str">
        <x:v>Units</x:v>
      </x:c>
      <x:c r="D5" s="158" t="str">
        <x:v>United States</x:v>
      </x:c>
      <x:c r="E5" s="158" t="str">
        <x:v>Global ex-China</x:v>
      </x:c>
      <x:c r="F5" s="158" t="str">
        <x:v>Methodology / intuition</x:v>
      </x:c>
      <x:c r="G5" s="158" t="str">
        <x:v>Input status</x:v>
      </x:c>
      <x:c r="H5" s="158" t="str">
        <x:v>Source / handoff</x:v>
      </x:c>
    </x:row>
    <x:row r="6">
      <x:c r="B6" s="146"/>
      <x:c r="C6" s="146"/>
      <x:c r="D6" s="146"/>
      <x:c r="E6" s="146"/>
      <x:c r="F6" s="146"/>
      <x:c r="G6" s="146"/>
      <x:c r="H6" s="146"/>
    </x:row>
    <x:row r="7" ht="25" customHeight="1">
      <x:c r="B7" s="161" t="str">
        <x:v>01  |  AI-EXPOSED WAGE POOL &amp; SCALING LOGIC</x:v>
      </x:c>
      <x:c r="C7" s="161"/>
      <x:c r="D7" s="161"/>
      <x:c r="E7" s="161"/>
      <x:c r="F7" s="161"/>
      <x:c r="G7" s="161"/>
      <x:c r="H7" s="161"/>
    </x:row>
    <x:row r="8" ht="31" customHeight="1">
      <x:c r="B8" s="174" t="str">
        <x:v>AI-exposed labor income TAM</x:v>
      </x:c>
      <x:c r="C8" s="174" t="str">
        <x:v>USD bn</x:v>
      </x:c>
      <x:c r="D8" s="171" t="n">
        <x:f>'AI Seat Economics'!D7</x:f>
        <x:v>5300</x:v>
      </x:c>
      <x:c r="E8" s="171" t="n">
        <x:f>'AI Seat Economics'!E7</x:f>
        <x:v>14000</x:v>
      </x:c>
      <x:c r="F8" s="176" t="str">
        <x:v>Potential labor income in occupations / tasks exposed to GenAI; NOT realized revenue or productivity benefit.</x:v>
      </x:c>
      <x:c r="G8" s="172" t="str">
        <x:v>PRIOR MODEL / ROUNDED</x:v>
      </x:c>
      <x:c r="H8" s="172" t="str">
        <x:v>Link final values from your U.S. / global 2030 workbooks</x:v>
      </x:c>
    </x:row>
    <x:row r="9" ht="35" customHeight="1">
      <x:c r="B9" s="162" t="str">
        <x:v>Underlying model: U.S. wage TAM</x:v>
      </x:c>
      <x:c r="C9" s="162" t="str">
        <x:v>USD bn</x:v>
      </x:c>
      <x:c r="D9" s="177" t="n">
        <x:f>D8</x:f>
        <x:v>5300</x:v>
      </x:c>
      <x:c r="E9" s="165"/>
      <x:c r="F9" s="163" t="str">
        <x:v>U.S. private-sector employees × annual industry wages × task exposure, aggregated across industries.</x:v>
      </x:c>
      <x:c r="G9" s="163" t="str">
        <x:v>METHODOLOGY</x:v>
      </x:c>
      <x:c r="H9" s="163" t="str">
        <x:v>BLS / OEWS + PWBM exposure</x:v>
      </x:c>
    </x:row>
    <x:row r="10" ht="35" customHeight="1">
      <x:c r="B10" s="166" t="str">
        <x:v>Global scaling: labor income ratio</x:v>
      </x:c>
      <x:c r="C10" s="166" t="str">
        <x:v>x</x:v>
      </x:c>
      <x:c r="D10" s="167"/>
      <x:c r="E10" s="181"/>
      <x:c r="F10" s="168" t="str">
        <x:v>[2030 World GDP × labor share − China GDP × labor share] / U.S. labor income; geography includes U.S.</x:v>
      </x:c>
      <x:c r="G10" s="179" t="str">
        <x:v>LINK REQUIRED</x:v>
      </x:c>
      <x:c r="H10" s="168" t="str">
        <x:v>IMF WEO + ILO labor-income shares</x:v>
      </x:c>
    </x:row>
    <x:row r="11" ht="35" customHeight="1">
      <x:c r="B11" s="162" t="str">
        <x:v>Global scaling: AI exposure ratio</x:v>
      </x:c>
      <x:c r="C11" s="162" t="str">
        <x:v>x</x:v>
      </x:c>
      <x:c r="D11" s="165"/>
      <x:c r="E11" s="181"/>
      <x:c r="F11" s="163" t="str">
        <x:v>Global ex-China sector employment-weighted exposure / U.S. sector employment-weighted exposure.</x:v>
      </x:c>
      <x:c r="G11" s="183" t="str">
        <x:v>LINK REQUIRED</x:v>
      </x:c>
      <x:c r="H11" s="163" t="str">
        <x:v>ILO employment agriculture / industry / services; U.S. sector exposure</x:v>
      </x:c>
    </x:row>
    <x:row r="12" ht="35" customHeight="1">
      <x:c r="B12" s="166" t="str">
        <x:v>Global wage TAM — scaling cross-check</x:v>
      </x:c>
      <x:c r="C12" s="166" t="str">
        <x:v>USD bn</x:v>
      </x:c>
      <x:c r="D12" s="167"/>
      <x:c r="E12" s="184" t="str">
        <x:f>IF(OR(E10="",E11=""),"",D8*E10*E11)</x:f>
      </x:c>
      <x:c r="F12" s="168" t="str">
        <x:v>U.S. base × labor income ratio × exposure ratio; compare with your previously computed 2030 global TAM.</x:v>
      </x:c>
      <x:c r="G12" s="168" t="str">
        <x:v>CROSS-CHECK</x:v>
      </x:c>
      <x:c r="H12" s="168" t="str">
        <x:v>Must match geography and base year</x:v>
      </x:c>
    </x:row>
    <x:row r="13" ht="35" customHeight="1">
      <x:c r="B13" s="162" t="str">
        <x:v>Scaling difference vs. original TAM</x:v>
      </x:c>
      <x:c r="C13" s="162" t="str">
        <x:v>%</x:v>
      </x:c>
      <x:c r="D13" s="165"/>
      <x:c r="E13" s="186" t="str">
        <x:f>IF(OR(E12="",E8=0),"",E12/E8-1)</x:f>
      </x:c>
      <x:c r="F13" s="163" t="str">
        <x:v>Difference between ratios-derived estimate and original global estimate; ideally near zero after exact input linkage.</x:v>
      </x:c>
      <x:c r="G13" s="163" t="str">
        <x:v>CROSS-CHECK</x:v>
      </x:c>
      <x:c r="H13" s="163" t="str">
        <x:v>Data QA — check if inconsistent</x:v>
      </x:c>
    </x:row>
    <x:row r="14">
      <x:c r="B14" s="146"/>
      <x:c r="C14" s="146"/>
      <x:c r="D14" s="146"/>
      <x:c r="E14" s="146"/>
      <x:c r="F14" s="146"/>
      <x:c r="G14" s="146"/>
      <x:c r="H14" s="146"/>
    </x:row>
    <x:row r="15" ht="25" customHeight="1">
      <x:c r="B15" s="161" t="str">
        <x:v>02  |  WORKFORCE / POTENTIAL AI SEATS — TWO DISTINCT DENOMINATORS</x:v>
      </x:c>
      <x:c r="C15" s="161"/>
      <x:c r="D15" s="161"/>
      <x:c r="E15" s="161"/>
      <x:c r="F15" s="161"/>
      <x:c r="G15" s="161"/>
      <x:c r="H15" s="161"/>
    </x:row>
    <x:row r="16" ht="35" customHeight="1">
      <x:c r="B16" s="166" t="str">
        <x:v>Total employment</x:v>
      </x:c>
      <x:c r="C16" s="166" t="str">
        <x:v>mn persons</x:v>
      </x:c>
      <x:c r="D16" s="180"/>
      <x:c r="E16" s="180"/>
      <x:c r="F16" s="168" t="str">
        <x:v>All employed persons before filtering for AI exposure. Use matching time period for U.S. / global.</x:v>
      </x:c>
      <x:c r="G16" s="179" t="str">
        <x:v>LINK REQUIRED</x:v>
      </x:c>
      <x:c r="H16" s="168" t="str">
        <x:v>ILO / BLS employment series</x:v>
      </x:c>
    </x:row>
    <x:row r="17" ht="35" customHeight="1">
      <x:c r="B17" s="162" t="str">
        <x:v>AI-exposed worker headcount</x:v>
      </x:c>
      <x:c r="C17" s="162" t="str">
        <x:v>mn persons</x:v>
      </x:c>
      <x:c r="D17" s="187" t="n">
        <x:f>'AI Seat Economics'!D8</x:f>
        <x:v>100</x:v>
      </x:c>
      <x:c r="E17" s="187" t="n">
        <x:f>'AI Seat Economics'!E8</x:f>
        <x:v>400</x:v>
      </x:c>
      <x:c r="F17" s="163" t="str">
        <x:v>Workers in occupations ABOVE an explicit AI-exposure threshold. This is potential users, not paying users.</x:v>
      </x:c>
      <x:c r="G17" s="163" t="str">
        <x:v>ILLUSTRATIVE / REPLACE</x:v>
      </x:c>
      <x:c r="H17" s="163" t="str">
        <x:v>Link actual headcount; currently demonstration-only</x:v>
      </x:c>
    </x:row>
    <x:row r="18" ht="35" customHeight="1">
      <x:c r="B18" s="166" t="str">
        <x:v>AI exposure-adjusted employees</x:v>
      </x:c>
      <x:c r="C18" s="166" t="str">
        <x:v>mn equivalent</x:v>
      </x:c>
      <x:c r="D18" s="187" t="n">
        <x:f>'AI Seat Economics'!D9</x:f>
        <x:v>40</x:v>
      </x:c>
      <x:c r="E18" s="187" t="n">
        <x:f>'AI Seat Economics'!E9</x:f>
        <x:v>160</x:v>
      </x:c>
      <x:c r="F18" s="168" t="str">
        <x:v>SUM(employee headcount × task exposure score). NOT literal worker count or proven time saved.</x:v>
      </x:c>
      <x:c r="G18" s="168" t="str">
        <x:v>ILLUSTRATIVE / REPLACE</x:v>
      </x:c>
      <x:c r="H18" s="168" t="str">
        <x:v>Link existing U.S. sector exposure × employment calculations</x:v>
      </x:c>
    </x:row>
    <x:row r="19" ht="35" customHeight="1">
      <x:c r="B19" s="162" t="str">
        <x:v>Exposed workforce share</x:v>
      </x:c>
      <x:c r="C19" s="162" t="str">
        <x:v>%</x:v>
      </x:c>
      <x:c r="D19" s="186" t="str">
        <x:f>IF(OR(D16="",D16=0,D17=""),"",D17/D16)</x:f>
      </x:c>
      <x:c r="E19" s="186" t="str">
        <x:f>IF(OR(E16="",E16=0,E17=""),"",E17/E16)</x:f>
      </x:c>
      <x:c r="F19" s="163" t="str">
        <x:v>Exposed workers / total employees. Do NOT substitute the task exposure score for this worker share.</x:v>
      </x:c>
      <x:c r="G19" s="163" t="str">
        <x:v>DEPENDENT</x:v>
      </x:c>
      <x:c r="H19" s="163" t="str">
        <x:v>Use same employment denominator</x:v>
      </x:c>
    </x:row>
    <x:row r="20">
      <x:c r="B20" s="146"/>
      <x:c r="C20" s="146"/>
      <x:c r="D20" s="146"/>
      <x:c r="E20" s="146"/>
      <x:c r="F20" s="146"/>
      <x:c r="G20" s="146"/>
      <x:c r="H20" s="146"/>
    </x:row>
    <x:row r="21" ht="25" customHeight="1">
      <x:c r="B21" s="161" t="str">
        <x:v>03  |  PRODUCTIVITY BENEFIT — WAGE POOL TO ANNUAL ECONOMIC VALUE</x:v>
      </x:c>
      <x:c r="C21" s="161"/>
      <x:c r="D21" s="161"/>
      <x:c r="E21" s="161"/>
      <x:c r="F21" s="161"/>
      <x:c r="G21" s="161"/>
      <x:c r="H21" s="161"/>
    </x:row>
    <x:row r="22" ht="35" customHeight="1">
      <x:c r="B22" s="166" t="str">
        <x:v>Economically viable share</x:v>
      </x:c>
      <x:c r="C22" s="166" t="str">
        <x:v>%</x:v>
      </x:c>
      <x:c r="D22" s="189" t="n">
        <x:f>'AI Seat Economics'!D14</x:f>
        <x:v>0.23</x:v>
      </x:c>
      <x:c r="E22" s="189" t="n">
        <x:f>'AI Seat Economics'!E14</x:f>
        <x:v>0.23</x:v>
      </x:c>
      <x:c r="F22" s="168" t="str">
        <x:v>Fraction of TECHNICALLY exposed tasks projected economically viable for AI. PWBM long-run 23% model assumption.</x:v>
      </x:c>
      <x:c r="G22" s="168" t="str">
        <x:v>PWBM BENCHMARK</x:v>
      </x:c>
      <x:c r="H22" s="168" t="str">
        <x:v>PWBM (2025) — not observed 2030 adoption</x:v>
      </x:c>
    </x:row>
    <x:row r="23" ht="35" customHeight="1">
      <x:c r="B23" s="162" t="str">
        <x:v>Utilization of viable tasks in 2030</x:v>
      </x:c>
      <x:c r="C23" s="162" t="str">
        <x:v>%</x:v>
      </x:c>
      <x:c r="D23" s="192" t="n">
        <x:f>'AI Seat Economics'!D15</x:f>
        <x:v>0.5</x:v>
      </x:c>
      <x:c r="E23" s="192" t="n">
        <x:f>'AI Seat Economics'!E15</x:f>
        <x:v>0.5</x:v>
      </x:c>
      <x:c r="F23" s="163" t="str">
        <x:v>Share of viable work actually deployed / used by 2030. Independent SCENARIO, not % of people buying a seat.</x:v>
      </x:c>
      <x:c r="G23" s="191" t="str">
        <x:v>ASSUMPTION / ILLUSTRATIVE</x:v>
      </x:c>
      <x:c r="H23" s="163" t="str">
        <x:v>Sensitivity table on AI Seat Economics tab</x:v>
      </x:c>
    </x:row>
    <x:row r="24" ht="35" customHeight="1">
      <x:c r="B24" s="166" t="str">
        <x:v>Task-level labor cost saving</x:v>
      </x:c>
      <x:c r="C24" s="166" t="str">
        <x:v>%</x:v>
      </x:c>
      <x:c r="D24" s="189" t="n">
        <x:f>'AI Seat Economics'!D16</x:f>
        <x:v>0.25</x:v>
      </x:c>
      <x:c r="E24" s="189" t="n">
        <x:f>'AI Seat Economics'!E16</x:f>
        <x:v>0.25</x:v>
      </x:c>
      <x:c r="F24" s="168" t="str">
        <x:v>Gross task labor cost saving after effective use. PWBM initially uses ~25%; do NOT multiply separate productivity uplift.</x:v>
      </x:c>
      <x:c r="G24" s="168" t="str">
        <x:v>PWBM BENCHMARK</x:v>
      </x:c>
      <x:c r="H24" s="168" t="str">
        <x:v>Not total firm productivity or realized cash savings</x:v>
      </x:c>
    </x:row>
    <x:row r="25" ht="31" customHeight="1">
      <x:c r="B25" s="197" t="str">
        <x:v>Annual labor economic value</x:v>
      </x:c>
      <x:c r="C25" s="197" t="str">
        <x:v>USD bn</x:v>
      </x:c>
      <x:c r="D25" s="194" t="n">
        <x:f>'AI Seat Economics'!D24</x:f>
        <x:v>152.375</x:v>
      </x:c>
      <x:c r="E25" s="194" t="n">
        <x:f>'AI Seat Economics'!E24</x:f>
        <x:v>402.5</x:v>
      </x:c>
      <x:c r="F25" s="199" t="str">
        <x:v>Exposed wage base × economically viable share × utilization × labor cost saving.</x:v>
      </x:c>
      <x:c r="G25" s="195" t="str">
        <x:v>MODEL OUTPUT</x:v>
      </x:c>
      <x:c r="H25" s="195" t="str">
        <x:v>Potential annualized benefit, not vendor revenue</x:v>
      </x:c>
    </x:row>
    <x:row r="26" ht="35" customHeight="1">
      <x:c r="B26" s="166" t="str">
        <x:v>AI vendor share of created value</x:v>
      </x:c>
      <x:c r="C26" s="166" t="str">
        <x:v>%</x:v>
      </x:c>
      <x:c r="D26" s="189" t="n">
        <x:f>'AI Seat Economics'!D17</x:f>
        <x:v>0.5</x:v>
      </x:c>
      <x:c r="E26" s="189" t="n">
        <x:f>'AI Seat Economics'!E17</x:f>
        <x:v>0.5</x:v>
      </x:c>
      <x:c r="F26" s="168" t="str">
        <x:v>Share of employer benefit potentially captured in AI vendor pricing; independent scenario (“split the difference”).</x:v>
      </x:c>
      <x:c r="G26" s="201" t="str">
        <x:v>ASSUMPTION / ILLUSTRATIVE</x:v>
      </x:c>
      <x:c r="H26" s="168" t="str">
        <x:v>Model scenario; not PWBM estimate</x:v>
      </x:c>
    </x:row>
    <x:row r="27" ht="31" customHeight="1">
      <x:c r="B27" s="197" t="str">
        <x:v>Vendor revenue — value-capture approach</x:v>
      </x:c>
      <x:c r="C27" s="197" t="str">
        <x:v>USD bn</x:v>
      </x:c>
      <x:c r="D27" s="194" t="n">
        <x:f>'AI Seat Economics'!D25</x:f>
        <x:v>76.1875</x:v>
      </x:c>
      <x:c r="E27" s="194" t="n">
        <x:f>'AI Seat Economics'!E25</x:f>
        <x:v>201.25</x:v>
      </x:c>
      <x:c r="F27" s="199" t="str">
        <x:v>Economic value × vendor capture. Alternative to price × seat revenue; do NOT add both.</x:v>
      </x:c>
      <x:c r="G27" s="195" t="str">
        <x:v>MODEL OUTPUT</x:v>
      </x:c>
      <x:c r="H27" s="195" t="str">
        <x:v>Top-down economic willingness-to-pay illustration</x:v>
      </x:c>
    </x:row>
    <x:row r="28" ht="35" customHeight="1">
      <x:c r="B28" s="166" t="str">
        <x:v>Economic value / AI-exposed worker</x:v>
      </x:c>
      <x:c r="C28" s="166" t="str">
        <x:v>USD / yr</x:v>
      </x:c>
      <x:c r="D28" s="203" t="n">
        <x:f>IF(OR(D17="",D17=0),"",D25/D17*1000)</x:f>
        <x:v>1523.75</x:v>
      </x:c>
      <x:c r="E28" s="203" t="n">
        <x:f>IF(OR(E17="",E17=0),"",E25/E17*1000)</x:f>
        <x:v>1006.2500000000001</x:v>
      </x:c>
      <x:c r="F28" s="168" t="str">
        <x:v>Annual gross benefit divided by potentially exposed worker headcount (NOT actual paying users).</x:v>
      </x:c>
      <x:c r="G28" s="168" t="str">
        <x:v>ILLUSTRATIVE / REPLACE</x:v>
      </x:c>
      <x:c r="H28" s="168" t="str">
        <x:v>Only valid after seats linked to your computed number</x:v>
      </x:c>
    </x:row>
    <x:row r="29">
      <x:c r="B29" s="146"/>
      <x:c r="C29" s="146"/>
      <x:c r="D29" s="146"/>
      <x:c r="E29" s="146"/>
      <x:c r="F29" s="146"/>
      <x:c r="G29" s="146"/>
      <x:c r="H29" s="146"/>
    </x:row>
    <x:row r="30" ht="25" customHeight="1">
      <x:c r="B30" s="161" t="str">
        <x:v>04  |  ENTERPRISE MONETIZATION — PAYING SEATS, PRICE, AND REVENUE</x:v>
      </x:c>
      <x:c r="C30" s="161"/>
      <x:c r="D30" s="161"/>
      <x:c r="E30" s="161"/>
      <x:c r="F30" s="161"/>
      <x:c r="G30" s="161"/>
      <x:c r="H30" s="161"/>
    </x:row>
    <x:row r="31" ht="35" customHeight="1">
      <x:c r="B31" s="162" t="str">
        <x:v>Paid-seat penetration</x:v>
      </x:c>
      <x:c r="C31" s="162" t="str">
        <x:v>%</x:v>
      </x:c>
      <x:c r="D31" s="192" t="n">
        <x:f>'AI Seat Economics'!D18</x:f>
        <x:v>0.3</x:v>
      </x:c>
      <x:c r="E31" s="192" t="n">
        <x:f>'AI Seat Economics'!E18</x:f>
        <x:v>0.3</x:v>
      </x:c>
      <x:c r="F31" s="163" t="str">
        <x:v>Share of potential AI-exposed workers converted into PAID enterprise seats; different from task utilization.</x:v>
      </x:c>
      <x:c r="G31" s="191" t="str">
        <x:v>ASSUMPTION / ILLUSTRATIVE</x:v>
      </x:c>
      <x:c r="H31" s="163" t="str">
        <x:v>Editable on AI Seat Economics tab</x:v>
      </x:c>
    </x:row>
    <x:row r="32" ht="35" customHeight="1">
      <x:c r="B32" s="166" t="str">
        <x:v>Paid enterprise AI seats</x:v>
      </x:c>
      <x:c r="C32" s="166" t="str">
        <x:v>mn paying</x:v>
      </x:c>
      <x:c r="D32" s="169" t="n">
        <x:f>'AI Seat Economics'!D26</x:f>
        <x:v>30</x:v>
      </x:c>
      <x:c r="E32" s="169" t="n">
        <x:f>'AI Seat Economics'!E26</x:f>
        <x:v>120</x:v>
      </x:c>
      <x:c r="F32" s="168" t="str">
        <x:v>Potential exposed worker seats × paid-seat penetration; commercial seat opportunity only.</x:v>
      </x:c>
      <x:c r="G32" s="168" t="str">
        <x:v>ILLUSTRATIVE / REPLACE</x:v>
      </x:c>
      <x:c r="H32" s="168" t="str">
        <x:v>Requires replacing 100M/400M demo counts</x:v>
      </x:c>
    </x:row>
    <x:row r="33" ht="35" customHeight="1">
      <x:c r="B33" s="162" t="str">
        <x:v>Annual enterprise price / paid seat</x:v>
      </x:c>
      <x:c r="C33" s="162" t="str">
        <x:v>USD / yr</x:v>
      </x:c>
      <x:c r="D33" s="205" t="n">
        <x:f>'AI Seat Economics'!D19</x:f>
        <x:v>1200</x:v>
      </x:c>
      <x:c r="E33" s="205" t="n">
        <x:f>'AI Seat Economics'!E19</x:f>
        <x:v>1200</x:v>
      </x:c>
      <x:c r="F33" s="163" t="str">
        <x:v>Blended annual price received from a paying enterprise seat (ARPU), e.g. $100/month = $1,200/year.</x:v>
      </x:c>
      <x:c r="G33" s="191" t="str">
        <x:v>ASSUMPTION / ILLUSTRATIVE</x:v>
      </x:c>
      <x:c r="H33" s="163" t="str">
        <x:v>Editable on AI Seat Economics tab</x:v>
      </x:c>
    </x:row>
    <x:row r="34" ht="31" customHeight="1">
      <x:c r="B34" s="174" t="str">
        <x:v>Enterprise revenue — per-seat approach</x:v>
      </x:c>
      <x:c r="C34" s="174" t="str">
        <x:v>USD bn</x:v>
      </x:c>
      <x:c r="D34" s="171" t="n">
        <x:f>'AI Seat Economics'!D27</x:f>
        <x:v>36</x:v>
      </x:c>
      <x:c r="E34" s="171" t="n">
        <x:f>'AI Seat Economics'!E27</x:f>
        <x:v>144</x:v>
      </x:c>
      <x:c r="F34" s="176" t="str">
        <x:v>Paying enterprise seats (mn) × price per seat ($/yr) / 1,000. Independent scenario, not additive to value-capture.</x:v>
      </x:c>
      <x:c r="G34" s="172" t="str">
        <x:v>MODEL OUTPUT</x:v>
      </x:c>
      <x:c r="H34" s="172" t="str">
        <x:v>Bottom-up subscription / seat economics</x:v>
      </x:c>
    </x:row>
    <x:row r="35" ht="35" customHeight="1">
      <x:c r="B35" s="162" t="str">
        <x:v>Vendor implied ARPU / paying seat</x:v>
      </x:c>
      <x:c r="C35" s="162" t="str">
        <x:v>USD / yr</x:v>
      </x:c>
      <x:c r="D35" s="205" t="n">
        <x:f>'AI Seat Economics'!D29</x:f>
        <x:v>2539.5833333333335</x:v>
      </x:c>
      <x:c r="E35" s="205" t="n">
        <x:f>'AI Seat Economics'!E29</x:f>
        <x:v>1677.0833333333333</x:v>
      </x:c>
      <x:c r="F35" s="163" t="str">
        <x:v>Vendor revenue in value-capture scenario / paying seats. Compare with paid-seat price assumption.</x:v>
      </x:c>
      <x:c r="G35" s="163" t="str">
        <x:v>MODEL CROSS-CHECK</x:v>
      </x:c>
      <x:c r="H35" s="163" t="str">
        <x:v>Willingness-to-pay proxy, NOT market quote</x:v>
      </x:c>
    </x:row>
    <x:row r="36" ht="35" customHeight="1">
      <x:c r="B36" s="166" t="str">
        <x:v>Annual vendor revenue / potential seat</x:v>
      </x:c>
      <x:c r="C36" s="166" t="str">
        <x:v>USD / yr</x:v>
      </x:c>
      <x:c r="D36" s="203" t="n">
        <x:f>IF(OR(D17="",D17=0),"",D27/D17*1000)</x:f>
        <x:v>761.875</x:v>
      </x:c>
      <x:c r="E36" s="203" t="n">
        <x:f>IF(OR(E17="",E17=0),"",E27/E17*1000)</x:f>
        <x:v>503.12500000000006</x:v>
      </x:c>
      <x:c r="F36" s="168" t="str">
        <x:v>Top-down vendor revenue divided by potential exposed workers; not a literal bill per user.</x:v>
      </x:c>
      <x:c r="G36" s="168" t="str">
        <x:v>ILLUSTRATIVE / REPLACE</x:v>
      </x:c>
      <x:c r="H36" s="168" t="str">
        <x:v>Unit-economics bridge</x:v>
      </x:c>
    </x:row>
    <x:row r="37">
      <x:c r="B37" s="146"/>
      <x:c r="C37" s="146"/>
      <x:c r="D37" s="146"/>
      <x:c r="E37" s="146"/>
      <x:c r="F37" s="146"/>
      <x:c r="G37" s="146"/>
      <x:c r="H37" s="146"/>
    </x:row>
    <x:row r="38" ht="25" customHeight="1">
      <x:c r="B38" s="161" t="str">
        <x:v>05  |  REQUIRED AI REVENUE — CAPEX HURDLE &amp; PER-SEAT ECONOMICS</x:v>
      </x:c>
      <x:c r="C38" s="161"/>
      <x:c r="D38" s="161"/>
      <x:c r="E38" s="161"/>
      <x:c r="F38" s="161"/>
      <x:c r="G38" s="161"/>
      <x:c r="H38" s="161"/>
    </x:row>
    <x:row r="39" ht="35" customHeight="1">
      <x:c r="B39" s="162" t="str">
        <x:v>2030 cumulative AI-related CapEx</x:v>
      </x:c>
      <x:c r="C39" s="162" t="str">
        <x:v>USD bn</x:v>
      </x:c>
      <x:c r="D39" s="180"/>
      <x:c r="E39" s="180"/>
      <x:c r="F39" s="163" t="str">
        <x:v>Your FactSet annual 2024–2030 CapEx sum; distinguish gross cumulative spend from 2030 operating-capital base.</x:v>
      </x:c>
      <x:c r="G39" s="183" t="str">
        <x:v>LINK REQUIRED</x:v>
      </x:c>
      <x:c r="H39" s="163" t="str">
        <x:v>Your CapEx forecast / vintage model</x:v>
      </x:c>
    </x:row>
    <x:row r="40" ht="35" customHeight="1">
      <x:c r="B40" s="166" t="str">
        <x:v>Required annual AI revenue — hurdle</x:v>
      </x:c>
      <x:c r="C40" s="166" t="str">
        <x:v>USD bn</x:v>
      </x:c>
      <x:c r="D40" s="187" t="str">
        <x:f>IF('AI Seat Economics'!D10="","",'AI Seat Economics'!D10)</x:f>
      </x:c>
      <x:c r="E40" s="187" t="str">
        <x:f>IF('AI Seat Economics'!E10="","",'AI Seat Economics'!E10)</x:f>
      </x:c>
      <x:c r="F40" s="168" t="str">
        <x:v>Annual AI revenue required to recover infrastructure capital plus required return; only enter geography-matched figures.</x:v>
      </x:c>
      <x:c r="G40" s="179" t="str">
        <x:v>LINK REQUIRED</x:v>
      </x:c>
      <x:c r="H40" s="168" t="str">
        <x:v>Link to CapEx Revenue Hurdle tab in your main workbook</x:v>
      </x:c>
    </x:row>
    <x:row r="41" ht="35" customHeight="1">
      <x:c r="B41" s="162" t="str">
        <x:v>Required revenue / potential AI seat</x:v>
      </x:c>
      <x:c r="C41" s="162" t="str">
        <x:v>USD / yr</x:v>
      </x:c>
      <x:c r="D41" s="205" t="str">
        <x:f>'AI Seat Economics'!D30</x:f>
      </x:c>
      <x:c r="E41" s="205" t="n">
        <x:f>'AI Seat Economics'!E30</x:f>
        <x:v>0</x:v>
      </x:c>
      <x:c r="F41" s="163" t="str">
        <x:v>Annual required revenue divided by exposed workers in matching geography. If global capex covers China, label as ex-China-only funding case.</x:v>
      </x:c>
      <x:c r="G41" s="163" t="str">
        <x:v>PENDING HURDLE</x:v>
      </x:c>
      <x:c r="H41" s="163" t="str">
        <x:v>Keith requested per-potential-seat denominator</x:v>
      </x:c>
    </x:row>
    <x:row r="42" ht="35" customHeight="1">
      <x:c r="B42" s="166" t="str">
        <x:v>Required revenue / paid enterprise seat</x:v>
      </x:c>
      <x:c r="C42" s="166" t="str">
        <x:v>USD / yr</x:v>
      </x:c>
      <x:c r="D42" s="206" t="str">
        <x:f>'AI Seat Economics'!D31</x:f>
      </x:c>
      <x:c r="E42" s="206" t="n">
        <x:f>'AI Seat Economics'!E31</x:f>
        <x:v>0</x:v>
      </x:c>
      <x:c r="F42" s="168" t="str">
        <x:v>Annual required revenue divided by PAID enterprise seats. This assumes enterprise subscriptions carry the full hurdle.</x:v>
      </x:c>
      <x:c r="G42" s="168" t="str">
        <x:v>PENDING HURDLE</x:v>
      </x:c>
      <x:c r="H42" s="168" t="str">
        <x:v>Scenario only; other AI revenue streams may contribute</x:v>
      </x:c>
    </x:row>
    <x:row r="43" ht="35" customHeight="1">
      <x:c r="B43" s="162" t="str">
        <x:v>Enterprise subscription / hurdle</x:v>
      </x:c>
      <x:c r="C43" s="162" t="str">
        <x:v>x</x:v>
      </x:c>
      <x:c r="D43" s="208" t="n">
        <x:f>'AI Seat Economics'!D32</x:f>
        <x:v>0</x:v>
      </x:c>
      <x:c r="E43" s="208" t="n">
        <x:f>'AI Seat Economics'!E32</x:f>
        <x:v>0</x:v>
      </x:c>
      <x:c r="F43" s="163" t="str">
        <x:v>Annual seat subscription revenue ÷ CapEx revenue hurdle. Not total AI industry coverage (excludes non-seat revenue).</x:v>
      </x:c>
      <x:c r="G43" s="163" t="str">
        <x:v>PENDING HURDLE</x:v>
      </x:c>
      <x:c r="H43" s="163" t="str">
        <x:v>Only compare matching regions and years</x:v>
      </x:c>
    </x:row>
    <x:row r="44" ht="31" customHeight="1">
      <x:c r="B44" s="174" t="str">
        <x:v>Annual AI vendor revenue gap — seat view</x:v>
      </x:c>
      <x:c r="C44" s="174" t="str">
        <x:v>USD bn</x:v>
      </x:c>
      <x:c r="D44" s="209" t="str">
        <x:f>IF(D40="","",D40-D34)</x:f>
      </x:c>
      <x:c r="E44" s="209" t="str">
        <x:f>IF(E40="","",E40-E34)</x:f>
      </x:c>
      <x:c r="F44" s="176" t="str">
        <x:v>Required revenue − enterprise subscription revenue; illustrative remaining amount for other monetization categories.</x:v>
      </x:c>
      <x:c r="G44" s="172" t="str">
        <x:v>PENDING HURDLE</x:v>
      </x:c>
      <x:c r="H44" s="172" t="str">
        <x:v>Avoid treating all CapEx as funded by employee seats</x:v>
      </x:c>
    </x:row>
    <x:row r="45">
      <x:c r="B45" s="146"/>
      <x:c r="C45" s="146"/>
      <x:c r="D45" s="146"/>
      <x:c r="E45" s="146"/>
      <x:c r="F45" s="146"/>
      <x:c r="G45" s="146"/>
      <x:c r="H45" s="146"/>
    </x:row>
    <x:row r="46" ht="25" customHeight="1">
      <x:c r="B46" s="161" t="str">
        <x:v>06  |  ADDITIONAL FOOTBALL FIELD ESTIMATES — NOT ADDITIVE</x:v>
      </x:c>
      <x:c r="C46" s="161"/>
      <x:c r="D46" s="161"/>
      <x:c r="E46" s="161"/>
      <x:c r="F46" s="161"/>
      <x:c r="G46" s="161"/>
      <x:c r="H46" s="161"/>
    </x:row>
    <x:row r="47" ht="35" customHeight="1">
      <x:c r="B47" s="162" t="str">
        <x:v>Labor shortage / wage gap estimate</x:v>
      </x:c>
      <x:c r="C47" s="162" t="str">
        <x:v>USD bn</x:v>
      </x:c>
      <x:c r="D47" s="211" t="n">
        <x:v>545</x:v>
      </x:c>
      <x:c r="E47" s="165"/>
      <x:c r="F47" s="163" t="str">
        <x:v>Employment-projection gap × industry average wage, based on historical-vs-BLS growth method; may overlap productivity benefit.</x:v>
      </x:c>
      <x:c r="G47" s="191" t="str">
        <x:v>PRIOR ESTIMATE / CHECK</x:v>
      </x:c>
      <x:c r="H47" s="163" t="str">
        <x:v>Earlier labor-gap model; verify date and methodology</x:v>
      </x:c>
    </x:row>
    <x:row r="48" ht="35" customHeight="1">
      <x:c r="B48" s="166" t="str">
        <x:v>Consumer AI subscription revenue</x:v>
      </x:c>
      <x:c r="C48" s="166" t="str">
        <x:v>USD bn</x:v>
      </x:c>
      <x:c r="D48" s="180"/>
      <x:c r="E48" s="180"/>
      <x:c r="F48" s="168" t="str">
        <x:v>Paying consumer users × annual ARPU; consumer revenue opportunity should be independent of employee seats.</x:v>
      </x:c>
      <x:c r="G48" s="179" t="str">
        <x:v>LINK REQUIRED</x:v>
      </x:c>
      <x:c r="H48" s="168" t="str">
        <x:v>Your existing Consumer Revenue tab</x:v>
      </x:c>
    </x:row>
    <x:row r="49" ht="35" customHeight="1">
      <x:c r="B49" s="162" t="str">
        <x:v>Other enterprise / vertical revenue</x:v>
      </x:c>
      <x:c r="C49" s="162" t="str">
        <x:v>USD bn</x:v>
      </x:c>
      <x:c r="D49" s="180"/>
      <x:c r="E49" s="180"/>
      <x:c r="F49" s="163" t="str">
        <x:v>Coding agents, customer support, marketing, healthcare, scientific use cases, workflow automation, etc.</x:v>
      </x:c>
      <x:c r="G49" s="183" t="str">
        <x:v>LINK REQUIRED</x:v>
      </x:c>
      <x:c r="H49" s="163" t="str">
        <x:v>28-category dictionary / revenue snippet mapping</x:v>
      </x:c>
    </x:row>
    <x:row r="50" ht="35" customHeight="1">
      <x:c r="B50" s="166" t="str">
        <x:v>Realized corporate AI cost savings</x:v>
      </x:c>
      <x:c r="C50" s="166" t="str">
        <x:v>USD bn</x:v>
      </x:c>
      <x:c r="D50" s="180"/>
      <x:c r="E50" s="180"/>
      <x:c r="F50" s="168" t="str">
        <x:v>Earnings-call disclosures, normalized by timing / relevant cost base; NOT directly additive to labor model.</x:v>
      </x:c>
      <x:c r="G50" s="168" t="str">
        <x:v>EVIDENCE IN PROGRESS</x:v>
      </x:c>
      <x:c r="H50" s="168" t="str">
        <x:v>Earnings call snippet evidence table</x:v>
      </x:c>
    </x:row>
    <x:row r="51" ht="35" customHeight="1">
      <x:c r="B51" s="162" t="str">
        <x:v>Firm-level productivity evidence</x:v>
      </x:c>
      <x:c r="C51" s="162" t="str">
        <x:v>% / task</x:v>
      </x:c>
      <x:c r="D51" s="180"/>
      <x:c r="E51" s="180"/>
      <x:c r="F51" s="163" t="str">
        <x:v>Academic studies and realized company examples: distinguish speed, output/hour, cost saving, and firm-level TFP.</x:v>
      </x:c>
      <x:c r="G51" s="163" t="str">
        <x:v>EVIDENCE IN PROGRESS</x:v>
      </x:c>
      <x:c r="H51" s="163" t="str">
        <x:v>Productivity studies / snippet research</x:v>
      </x:c>
    </x:row>
    <x:row r="52">
      <x:c r="B52" s="146"/>
      <x:c r="C52" s="146"/>
      <x:c r="D52" s="146"/>
      <x:c r="E52" s="146"/>
      <x:c r="F52" s="146"/>
      <x:c r="G52" s="146"/>
      <x:c r="H52" s="146"/>
    </x:row>
    <x:row r="53" ht="25" customHeight="1">
      <x:c r="B53" s="161" t="str">
        <x:v>07  |  RESEARCH SETUP / FOOTBALL FIELD NARRATIVE</x:v>
      </x:c>
      <x:c r="C53" s="161"/>
      <x:c r="D53" s="161"/>
      <x:c r="E53" s="161"/>
      <x:c r="F53" s="161"/>
      <x:c r="G53" s="161"/>
      <x:c r="H53" s="161"/>
    </x:row>
    <x:row r="54" ht="35" customHeight="1">
      <x:c r="B54" s="166" t="str">
        <x:v>Labor need / aging workforce</x:v>
      </x:c>
      <x:c r="C54" s="166" t="str"/>
      <x:c r="D54" s="167"/>
      <x:c r="E54" s="167"/>
      <x:c r="F54" s="168" t="str">
        <x:v>Why additional productivity can offset workforce growth constraints; macro motivation, not a new TAM.</x:v>
      </x:c>
      <x:c r="G54" s="168" t="str">
        <x:v>OUTLOOK / ESSAY</x:v>
      </x:c>
      <x:c r="H54" s="168" t="str">
        <x:v>BLS / population</x:v>
      </x:c>
    </x:row>
    <x:row r="55" ht="35" customHeight="1">
      <x:c r="B55" s="162" t="str">
        <x:v>Task exposure vs. adoption</x:v>
      </x:c>
      <x:c r="C55" s="162" t="str"/>
      <x:c r="D55" s="165"/>
      <x:c r="E55" s="165"/>
      <x:c r="F55" s="163" t="str">
        <x:v>Technical possibility ≠ actual adoption, hours saved, layoffs or AI revenue; do not re-apply exposure to TAM.</x:v>
      </x:c>
      <x:c r="G55" s="163" t="str">
        <x:v>OUTLOOK / ESSAY</x:v>
      </x:c>
      <x:c r="H55" s="163" t="str">
        <x:v>PWBM 2025</x:v>
      </x:c>
    </x:row>
    <x:row r="56" ht="35" customHeight="1">
      <x:c r="B56" s="166" t="str">
        <x:v>Augmentation &amp; cost savings</x:v>
      </x:c>
      <x:c r="C56" s="166" t="str"/>
      <x:c r="D56" s="167"/>
      <x:c r="E56" s="167"/>
      <x:c r="F56" s="168" t="str">
        <x:v>Use task studies / corporate evidence to justify cost-savings range; avoid adding BLS savings and task benefits.</x:v>
      </x:c>
      <x:c r="G56" s="168" t="str">
        <x:v>OUTLOOK / ESSAY</x:v>
      </x:c>
      <x:c r="H56" s="168" t="str">
        <x:v>Academic / company evidence</x:v>
      </x:c>
    </x:row>
    <x:row r="57" ht="35" customHeight="1">
      <x:c r="B57" s="162" t="str">
        <x:v>Seat economics</x:v>
      </x:c>
      <x:c r="C57" s="162" t="str"/>
      <x:c r="D57" s="165"/>
      <x:c r="E57" s="165"/>
      <x:c r="F57" s="163" t="str">
        <x:v>Compare required AI revenue per potential seat with economically defensible AI price per paid seat.</x:v>
      </x:c>
      <x:c r="G57" s="163" t="str">
        <x:v>OUTLOOK / ESSAY</x:v>
      </x:c>
      <x:c r="H57" s="163" t="str">
        <x:v>This workbook</x:v>
      </x:c>
    </x:row>
    <x:row r="58" ht="35" customHeight="1">
      <x:c r="B58" s="166" t="str">
        <x:v>Revenue opportunities</x:v>
      </x:c>
      <x:c r="C58" s="166" t="str"/>
      <x:c r="D58" s="167"/>
      <x:c r="E58" s="167"/>
      <x:c r="F58" s="168" t="str">
        <x:v>Maintain complete 28-category inventory; prioritize high-potential categories and explicit evidence of monetization.</x:v>
      </x:c>
      <x:c r="G58" s="168" t="str">
        <x:v>OUTLOOK / ESSAY</x:v>
      </x:c>
      <x:c r="H58" s="168" t="str">
        <x:v>Team snippet mapping</x:v>
      </x:c>
    </x:row>
    <x:row r="59" ht="35" customHeight="1">
      <x:c r="B59" s="162" t="str">
        <x:v>Remaining revenue gap</x:v>
      </x:c>
      <x:c r="C59" s="162" t="str"/>
      <x:c r="D59" s="165"/>
      <x:c r="E59" s="165"/>
      <x:c r="F59" s="163" t="str">
        <x:v>If labor-side enterprise monetization is below infrastructure hurdle, identify other revenues—not assumed proven.</x:v>
      </x:c>
      <x:c r="G59" s="163" t="str">
        <x:v>OUTLOOK / ESSAY</x:v>
      </x:c>
      <x:c r="H59" s="163" t="str">
        <x:v>Hurdle vs. seats</x:v>
      </x:c>
    </x:row>
    <x:row r="60" ht="28" customHeight="1">
      <x:c r="B60" s="166" t="str">
        <x:v>Risks / catalysts / trading ideas</x:v>
      </x:c>
      <x:c r="C60" s="166" t="str"/>
      <x:c r="D60" s="167"/>
      <x:c r="E60" s="167"/>
      <x:c r="F60" s="168" t="str">
        <x:v>Separate Outlook stream-of-consciousness thread; keep it outside numerical TAM sum.</x:v>
      </x:c>
      <x:c r="G60" s="168" t="str">
        <x:v>OUTLOOK / ESSAY</x:v>
      </x:c>
      <x:c r="H60" s="168" t="str">
        <x:v>Team discussion</x:v>
      </x:c>
    </x:row>
    <x:row r="61">
      <x:c r="B61" s="146"/>
      <x:c r="C61" s="146"/>
      <x:c r="D61" s="146"/>
      <x:c r="E61" s="146"/>
      <x:c r="F61" s="146"/>
      <x:c r="G61" s="146"/>
      <x:c r="H61" s="146"/>
    </x:row>
    <x:row r="62" ht="25" customHeight="1">
      <x:c r="B62" s="161" t="str">
        <x:v>08  |  KEY CAVEATS / DATA HYGIENE</x:v>
      </x:c>
      <x:c r="C62" s="161"/>
      <x:c r="D62" s="161"/>
      <x:c r="E62" s="161"/>
      <x:c r="F62" s="161"/>
      <x:c r="G62" s="161"/>
      <x:c r="H62" s="161"/>
    </x:row>
    <x:row r="63" ht="25" customHeight="1">
      <x:c r="B63" s="212" t="str">
        <x:v>Global ex-China INCLUDES the U.S. Do not compare against a World ex-U.S. ex-China denominator.</x:v>
      </x:c>
      <x:c r="C63" s="212"/>
      <x:c r="D63" s="212"/>
      <x:c r="E63" s="212"/>
      <x:c r="F63" s="212"/>
      <x:c r="G63" s="212"/>
      <x:c r="H63" s="212"/>
    </x:row>
    <x:row r="64" ht="32" customHeight="1">
      <x:c r="B64" s="213" t="str">
        <x:v>Illustrative initial seat counts (100M U.S. / 400M Global ex-China) are NOT your actual calculations; replace before delivery.</x:v>
      </x:c>
      <x:c r="C64" s="213"/>
      <x:c r="D64" s="213"/>
      <x:c r="E64" s="213"/>
      <x:c r="F64" s="213"/>
      <x:c r="G64" s="213"/>
      <x:c r="H64" s="213"/>
    </x:row>
    <x:row r="65" ht="32" customHeight="1">
      <x:c r="B65" s="212" t="str">
        <x:v>PWBM occupation exposure is technical task-potential, not directly observed fraction of working hours saved or displaced.</x:v>
      </x:c>
      <x:c r="C65" s="212"/>
      <x:c r="D65" s="212"/>
      <x:c r="E65" s="212"/>
      <x:c r="F65" s="212"/>
      <x:c r="G65" s="212"/>
      <x:c r="H65" s="212"/>
    </x:row>
    <x:row r="66" ht="32" customHeight="1">
      <x:c r="B66" s="213" t="str">
        <x:v>2025 labor shares / employment mix scaled to 2030 GDP assume composition stability; geographic adoption differences are not yet modeled.</x:v>
      </x:c>
      <x:c r="C66" s="213"/>
      <x:c r="D66" s="213"/>
      <x:c r="E66" s="213"/>
      <x:c r="F66" s="213"/>
      <x:c r="G66" s="213"/>
      <x:c r="H66" s="213"/>
    </x:row>
    <x:row r="67" ht="32" customHeight="1">
      <x:c r="B67" s="212" t="str">
        <x:v>23% PWBM viability is a LONG-RUN feasibility assumption; using it in a 2030 scenario is a modeling shortcut to stress-test.</x:v>
      </x:c>
      <x:c r="C67" s="212"/>
      <x:c r="D67" s="212"/>
      <x:c r="E67" s="212"/>
      <x:c r="F67" s="212"/>
      <x:c r="G67" s="212"/>
      <x:c r="H67" s="212"/>
    </x:row>
    <x:row r="68" ht="32" customHeight="1">
      <x:c r="B68" s="213" t="str">
        <x:v>Do not add AI wage TAM, productivity economic value, and enterprise revenue: different layers of the same economic opportunity.</x:v>
      </x:c>
      <x:c r="C68" s="213"/>
      <x:c r="D68" s="213"/>
      <x:c r="E68" s="213"/>
      <x:c r="F68" s="213"/>
      <x:c r="G68" s="213"/>
      <x:c r="H68" s="213"/>
    </x:row>
    <x:row r="69" ht="25" customHeight="1">
      <x:c r="B69" s="212" t="str">
        <x:v>Vendor value-capture approach and paid-seat × price approach are ALTERNATIVE revenue estimates, not additive.</x:v>
      </x:c>
      <x:c r="C69" s="212"/>
      <x:c r="D69" s="212"/>
      <x:c r="E69" s="212"/>
      <x:c r="F69" s="212"/>
      <x:c r="G69" s="212"/>
      <x:c r="H69" s="212"/>
    </x:row>
    <x:row r="70" ht="32" customHeight="1">
      <x:c r="B70" s="213" t="str">
        <x:v>Published CapEx hurdle: distinguish cumulative project investment vs. in-service asset cohorts / replacement equipment.</x:v>
      </x:c>
      <x:c r="C70" s="213"/>
      <x:c r="D70" s="213"/>
      <x:c r="E70" s="213"/>
      <x:c r="F70" s="213"/>
      <x:c r="G70" s="213"/>
      <x:c r="H70" s="213"/>
    </x:row>
    <x:row r="71">
      <x:c r="B71" s="146"/>
      <x:c r="C71" s="146"/>
      <x:c r="D71" s="146"/>
      <x:c r="E71" s="146"/>
      <x:c r="F71" s="146"/>
      <x:c r="G71" s="146"/>
      <x:c r="H71" s="146"/>
    </x:row>
    <x:row r="72" ht="25" customHeight="1">
      <x:c r="B72" s="161" t="str">
        <x:v>09  |  SOURCES &amp; LINK MAP</x:v>
      </x:c>
      <x:c r="C72" s="161"/>
      <x:c r="D72" s="161"/>
      <x:c r="E72" s="161"/>
      <x:c r="F72" s="161"/>
      <x:c r="G72" s="161"/>
      <x:c r="H72" s="161"/>
    </x:row>
    <x:row r="73" ht="22" customHeight="1">
      <x:c r="B73" s="146" t="str">
        <x:v>PWBM | exposure + 23% viable + 25% task saving</x:v>
      </x:c>
      <x:c r="C73" s="146"/>
      <x:c r="D73" s="146"/>
      <x:c r="E73" s="214" t="str">
        <x:v>https://budgetmodel.wharton.upenn.edu/p/2025-09-08-the-projected-impact-of-generative-ai-on-future-productivity-growth/</x:v>
      </x:c>
      <x:c r="F73" s="214"/>
      <x:c r="G73" s="214"/>
      <x:c r="H73" s="214"/>
    </x:row>
    <x:row r="74" ht="22" customHeight="1">
      <x:c r="B74" s="146" t="str">
        <x:v>ILO | occupation-based global GenAI exposure</x:v>
      </x:c>
      <x:c r="C74" s="146"/>
      <x:c r="D74" s="146"/>
      <x:c r="E74" s="214" t="str">
        <x:v>https://www.ilo.org/publications/generative-ai-and-jobs-refined-global-index-occupational-exposure</x:v>
      </x:c>
      <x:c r="F74" s="214"/>
      <x:c r="G74" s="214"/>
      <x:c r="H74" s="214"/>
    </x:row>
    <x:row r="75" ht="22" customHeight="1">
      <x:c r="B75" s="146" t="str">
        <x:v>IMF | WEO, 2030 nominal GDP</x:v>
      </x:c>
      <x:c r="C75" s="146"/>
      <x:c r="D75" s="146"/>
      <x:c r="E75" s="214" t="str">
        <x:v>https://www.imf.org/en/Publications/WEO/weo-database</x:v>
      </x:c>
      <x:c r="F75" s="214"/>
      <x:c r="G75" s="214"/>
      <x:c r="H75" s="214"/>
    </x:row>
    <x:row r="76" ht="22" customHeight="1">
      <x:c r="B76" s="146" t="str">
        <x:v>ILO | labor income shares / employment by sector</x:v>
      </x:c>
      <x:c r="C76" s="146"/>
      <x:c r="D76" s="146"/>
      <x:c r="E76" s="214" t="str">
        <x:v>https://ilostat.ilo.org/data/</x:v>
      </x:c>
      <x:c r="F76" s="214"/>
      <x:c r="G76" s="214"/>
      <x:c r="H76" s="214"/>
    </x:row>
    <x:row r="77" ht="22" customHeight="1">
      <x:c r="B77" s="146" t="str">
        <x:v>NYU Stern | industry cost of capital (benchmark only)</x:v>
      </x:c>
      <x:c r="C77" s="146"/>
      <x:c r="D77" s="146"/>
      <x:c r="E77" s="214" t="str">
        <x:v>https://pages.stern.nyu.edu/~adamodar/New_Home_Page/datafile/wacc.html</x:v>
      </x:c>
      <x:c r="F77" s="214"/>
      <x:c r="G77" s="214"/>
      <x:c r="H77" s="214"/>
    </x:row>
    <x:row r="78" ht="22" customHeight="1">
      <x:c r="B78" s="146" t="str">
        <x:v>Columbia | AI buildout required-return / OCF assumptions</x:v>
      </x:c>
      <x:c r="C78" s="146"/>
      <x:c r="D78" s="146"/>
      <x:c r="E78" s="214" t="str">
        <x:v>https://business.columbia.edu/milstein-center/ai-buildout-real-estate-investors</x:v>
      </x:c>
      <x:c r="F78" s="214"/>
      <x:c r="G78" s="214"/>
      <x:c r="H78" s="214"/>
    </x:row>
    <x:row r="79">
      <x:c r="B79" s="146"/>
      <x:c r="C79" s="146"/>
      <x:c r="D79" s="146"/>
      <x:c r="E79" s="146"/>
      <x:c r="F79" s="146"/>
      <x:c r="G79" s="146"/>
      <x:c r="H79" s="146"/>
    </x:row>
    <x:row r="80" ht="25" customHeight="1">
      <x:c r="B80" s="161" t="str">
        <x:v>10  |  CAPEX HURDLE ASSUMPTIONS — SUPPORTING BRIDGE (PAPER-CONSISTENT)</x:v>
      </x:c>
      <x:c r="C80" s="161"/>
      <x:c r="D80" s="161"/>
      <x:c r="E80" s="161"/>
      <x:c r="F80" s="161"/>
      <x:c r="G80" s="161"/>
      <x:c r="H80" s="161"/>
    </x:row>
    <x:row r="81" ht="35" customHeight="1">
      <x:c r="B81" s="162" t="str">
        <x:v>Unlevered required return</x:v>
      </x:c>
      <x:c r="C81" s="162" t="str">
        <x:v>%</x:v>
      </x:c>
      <x:c r="D81" s="216" t="n">
        <x:v>0.1</x:v>
      </x:c>
      <x:c r="E81" s="165"/>
      <x:c r="F81" s="163" t="str">
        <x:v>Project required return before financing leverage; compare carefully against NYU Stern corporate after-tax WACC.</x:v>
      </x:c>
      <x:c r="G81" s="163" t="str">
        <x:v>PAPER BASE CASE</x:v>
      </x:c>
      <x:c r="H81" s="163" t="str">
        <x:v>Columbia AI buildout paper; NYU Stern cross-check</x:v>
      </x:c>
    </x:row>
    <x:row r="82" ht="35" customHeight="1">
      <x:c r="B82" s="166" t="str">
        <x:v>Operating cash flow margin</x:v>
      </x:c>
      <x:c r="C82" s="166" t="str">
        <x:v>%</x:v>
      </x:c>
      <x:c r="D82" s="218" t="n">
        <x:v>0.5</x:v>
      </x:c>
      <x:c r="E82" s="167"/>
      <x:c r="F82" s="168" t="str">
        <x:v>Operating cash flow / revenue; 50% is paper scenario, not a verified stand-alone GPU-compute margin.</x:v>
      </x:c>
      <x:c r="G82" s="168" t="str">
        <x:v>PAPER BASE CASE</x:v>
      </x:c>
      <x:c r="H82" s="168" t="str">
        <x:v>Compare Microsoft / Alphabet / Meta and other operators</x:v>
      </x:c>
    </x:row>
    <x:row r="83" ht="35" customHeight="1">
      <x:c r="B83" s="162" t="str">
        <x:v>IT share of capital</x:v>
      </x:c>
      <x:c r="C83" s="162" t="str">
        <x:v>%</x:v>
      </x:c>
      <x:c r="D83" s="216" t="n">
        <x:v>0.68</x:v>
      </x:c>
      <x:c r="E83" s="165"/>
      <x:c r="F83" s="163" t="str">
        <x:v>Share of investment modeled as short-lived IT equipment. Not all firmwide hyperscaler CapEx has this mix.</x:v>
      </x:c>
      <x:c r="G83" s="163" t="str">
        <x:v>PAPER BASE CASE</x:v>
      </x:c>
      <x:c r="H83" s="163" t="str">
        <x:v>Columbia buildout asset-mix assumption</x:v>
      </x:c>
    </x:row>
    <x:row r="84" ht="35" customHeight="1">
      <x:c r="B84" s="166" t="str">
        <x:v>IT economic life</x:v>
      </x:c>
      <x:c r="C84" s="166" t="str">
        <x:v>years</x:v>
      </x:c>
      <x:c r="D84" s="220" t="n">
        <x:v>6</x:v>
      </x:c>
      <x:c r="E84" s="167"/>
      <x:c r="F84" s="168" t="str">
        <x:v>Six operating years; economic capital-recovery life, not a separate incremental accounting depreciation charge.</x:v>
      </x:c>
      <x:c r="G84" s="168" t="str">
        <x:v>PAPER BASE CASE</x:v>
      </x:c>
      <x:c r="H84" s="168" t="str">
        <x:v>GPU replacement / IT asset life assumption</x:v>
      </x:c>
    </x:row>
    <x:row r="85" ht="35" customHeight="1">
      <x:c r="B85" s="162" t="str">
        <x:v>Non-IT economic life</x:v>
      </x:c>
      <x:c r="C85" s="162" t="str">
        <x:v>years</x:v>
      </x:c>
      <x:c r="D85" s="222" t="n">
        <x:v>20</x:v>
      </x:c>
      <x:c r="E85" s="165"/>
      <x:c r="F85" s="163" t="str">
        <x:v>Longer-lived construction / non-IT asset recovery horizon, reflecting capital stock longevity.</x:v>
      </x:c>
      <x:c r="G85" s="163" t="str">
        <x:v>PAPER BASE CASE</x:v>
      </x:c>
      <x:c r="H85" s="163" t="str">
        <x:v>Columbia buildout asset-mix assumption</x:v>
      </x:c>
    </x:row>
    <x:row r="86" ht="35" customHeight="1">
      <x:c r="B86" s="166" t="str">
        <x:v>Weighted capital recovery factor</x:v>
      </x:c>
      <x:c r="C86" s="166" t="str">
        <x:v>%</x:v>
      </x:c>
      <x:c r="D86" s="223" t="n">
        <x:f>D83*(D81/(1-(1+D81)^(-D84)))+(1-D83)*(D81/(1-(1+D81)^(-D85)))</x:f>
        <x:v>0.19372009857382835</x:v>
      </x:c>
      <x:c r="E86" s="167"/>
      <x:c r="F86" s="168" t="str">
        <x:v>IT share × annuity factor(10%,6yr) + non-IT share × annuity factor(10%,20yr); return OF and recovery OF capital.</x:v>
      </x:c>
      <x:c r="G86" s="168" t="str">
        <x:v>CALCULATED</x:v>
      </x:c>
      <x:c r="H86" s="168" t="str">
        <x:v>Avoid adding depreciation twice</x:v>
      </x:c>
    </x:row>
    <x:row r="87" ht="31" customHeight="1">
      <x:c r="B87" s="197" t="str">
        <x:v>Revenue hurdle per $1 of cohort capital</x:v>
      </x:c>
      <x:c r="C87" s="197" t="str">
        <x:v>x</x:v>
      </x:c>
      <x:c r="D87" s="225" t="n">
        <x:f>IF(D82=0,"",D86/D82)</x:f>
        <x:v>0.3874401971476567</x:v>
      </x:c>
      <x:c r="E87" s="226"/>
      <x:c r="F87" s="199" t="str">
        <x:v>Weighted capital recovery factor / operating cash flow margin. Mature-cohort annualized illustration, NOT exact 2030 active-asset model.</x:v>
      </x:c>
      <x:c r="G87" s="195" t="str">
        <x:v>CALCULATED</x:v>
      </x:c>
      <x:c r="H87" s="195" t="str">
        <x:v>Do not multiply entire gross historical CapEx without vintage review</x:v>
      </x:c>
    </x:row>
    <x:row r="88">
      <x:c r="B88" s="146"/>
      <x:c r="C88" s="146"/>
      <x:c r="D88" s="146"/>
      <x:c r="E88" s="146"/>
      <x:c r="F88" s="146"/>
      <x:c r="G88" s="146"/>
      <x:c r="H88" s="146"/>
    </x:row>
    <x:row r="89">
      <x:c r="B89" s="146"/>
      <x:c r="C89" s="146"/>
      <x:c r="D89" s="146"/>
      <x:c r="E89" s="146"/>
      <x:c r="F89" s="146"/>
      <x:c r="G89" s="146"/>
      <x:c r="H89" s="146"/>
    </x:row>
    <x:row r="90">
      <x:c r="B90" s="146"/>
      <x:c r="C90" s="146"/>
      <x:c r="D90" s="146"/>
      <x:c r="E90" s="146"/>
      <x:c r="F90" s="146"/>
      <x:c r="G90" s="146"/>
      <x:c r="H90" s="146"/>
    </x:row>
    <x:row r="91">
      <x:c r="B91" s="146"/>
      <x:c r="C91" s="146"/>
      <x:c r="D91" s="146"/>
      <x:c r="E91" s="146"/>
      <x:c r="F91" s="146"/>
      <x:c r="G91" s="146"/>
      <x:c r="H91" s="146"/>
    </x:row>
    <x:row r="92">
      <x:c r="B92" s="146"/>
      <x:c r="C92" s="146"/>
      <x:c r="D92" s="146"/>
      <x:c r="E92" s="146"/>
      <x:c r="F92" s="146"/>
      <x:c r="G92" s="146"/>
      <x:c r="H92" s="146"/>
    </x:row>
    <x:row r="93">
      <x:c r="B93" s="146"/>
      <x:c r="C93" s="146"/>
      <x:c r="D93" s="146"/>
      <x:c r="E93" s="146"/>
      <x:c r="F93" s="146"/>
      <x:c r="G93" s="146"/>
      <x:c r="H93" s="146"/>
    </x:row>
    <x:row r="94">
      <x:c r="B94" s="146"/>
      <x:c r="C94" s="146"/>
      <x:c r="D94" s="146"/>
      <x:c r="E94" s="146"/>
      <x:c r="F94" s="146"/>
      <x:c r="G94" s="146"/>
      <x:c r="H94" s="146"/>
    </x:row>
    <x:row r="95">
      <x:c r="B95" s="146"/>
      <x:c r="C95" s="146"/>
      <x:c r="D95" s="146"/>
      <x:c r="E95" s="146"/>
      <x:c r="F95" s="146"/>
      <x:c r="G95" s="146"/>
      <x:c r="H95" s="146"/>
    </x:row>
  </x:sheetData>
  <x:mergeCells>
    <x:mergeCell ref="B1:H1"/>
    <x:mergeCell ref="B2:H2"/>
    <x:mergeCell ref="B3:H3"/>
    <x:mergeCell ref="B7:H7"/>
    <x:mergeCell ref="B15:H15"/>
    <x:mergeCell ref="B21:H21"/>
    <x:mergeCell ref="B30:H30"/>
    <x:mergeCell ref="B38:H38"/>
    <x:mergeCell ref="B46:H46"/>
    <x:mergeCell ref="B53:H53"/>
    <x:mergeCell ref="B62:H62"/>
    <x:mergeCell ref="B63:H63"/>
    <x:mergeCell ref="B64:H64"/>
    <x:mergeCell ref="B65:H65"/>
    <x:mergeCell ref="B66:H66"/>
    <x:mergeCell ref="B67:H67"/>
    <x:mergeCell ref="B68:H68"/>
    <x:mergeCell ref="B69:H69"/>
    <x:mergeCell ref="B70:H70"/>
    <x:mergeCell ref="B72:H72"/>
    <x:mergeCell ref="B73:D73"/>
    <x:mergeCell ref="E73:H73"/>
    <x:mergeCell ref="B74:D74"/>
    <x:mergeCell ref="E74:H74"/>
    <x:mergeCell ref="B75:D75"/>
    <x:mergeCell ref="E75:H75"/>
    <x:mergeCell ref="B76:D76"/>
    <x:mergeCell ref="E76:H76"/>
    <x:mergeCell ref="B77:D77"/>
    <x:mergeCell ref="E77:H77"/>
    <x:mergeCell ref="B78:D78"/>
    <x:mergeCell ref="E78:H78"/>
    <x:mergeCell ref="B80:H80"/>
  </x:mergeCells>
  <x:pageMargins left="0.7" right="0.7" top="0.75" bottom="0.75" header="0.3" footer="0.3"/>
</x:worksheet>
</file>