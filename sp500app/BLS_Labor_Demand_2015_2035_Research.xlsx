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5d99cff62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S Data" sheetId="1" r:id="R751f8ade4c154386"/>
    <x:sheet xmlns:r="http://schemas.openxmlformats.org/officeDocument/2006/relationships" name="Employment Dashboard" sheetId="2" r:id="Ra9f585d49d974fa3"/>
    <x:sheet xmlns:r="http://schemas.openxmlformats.org/officeDocument/2006/relationships" name="Rebuild Guide" sheetId="3" r:id="R69536b3ef394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0;[Red](0.00);-"/>
    <x:numFmt numFmtId="202" formatCode="#,##0.0;[Red](#,##0.0);-"/>
    <x:numFmt numFmtId="203" formatCode="0.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13"/>
      <x:color rgb="FF165FA3"/>
      <x:name val="Carlito"/>
    </x:font>
    <x:font>
      <x:b/>
      <x:sz val="12"/>
      <x:color rgb="FF17324C"/>
      <x:name val="Carlito"/>
    </x:font>
    <x:font>
      <x:b/>
      <x:sz val="9"/>
      <x:color rgb="FF17324C"/>
      <x:name val="Carlito"/>
    </x:font>
    <x:font>
      <x:b/>
      <x:sz val="15"/>
      <x:color rgb="FF17324C"/>
      <x:name val="Carlito"/>
    </x:font>
    <x:font>
      <x:sz val="11"/>
      <x:color rgb="FF165FA3"/>
      <x:name val="Carlito"/>
    </x:font>
    <x:font>
      <x:sz val="11"/>
      <x:color rgb="FF000000"/>
      <x:name val="Carlito"/>
    </x:font>
    <x:font>
      <x:sz val="10"/>
      <x:color rgb="FF5F6E7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C"/>
      </x:patternFill>
    </x:fill>
    <x:fill>
      <x:patternFill patternType="solid">
        <x:fgColor rgb="FFFFF2D8"/>
      </x:patternFill>
    </x:fill>
    <x:fill>
      <x:patternFill patternType="solid">
        <x:fgColor rgb="FFEAF1F5"/>
      </x:patternFill>
    </x:fill>
    <x:fill>
      <x:patternFill patternType="solid">
        <x:fgColor rgb="FFF3F7F9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0" fillId="0" borderId="0" xfId="0" applyNumberFormat="1" applyFont="1" applyFill="1" applyBorder="1"/>
    <x:xf numFmtId="202" fontId="6" fillId="5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1" xfId="0" applyNumberFormat="1" applyFont="1" applyFill="1" applyBorder="1"/>
    <x:xf numFmtId="202" fontId="7" fillId="0" borderId="1" xfId="0" applyNumberFormat="1" applyFont="1" applyFill="1" applyBorder="1"/>
    <x:xf numFmtId="200" fontId="8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1" xfId="0" applyNumberFormat="1" applyFont="1" applyFill="1" applyBorder="1"/>
    <x:xf numFmtId="202" fontId="8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b594393e94081" /><Relationship Type="http://schemas.openxmlformats.org/officeDocument/2006/relationships/theme" Target="/xl/theme/theme1.xml" Id="R0a8dbb5f581a474c" /><Relationship Type="http://schemas.openxmlformats.org/officeDocument/2006/relationships/sharedStrings" Target="/xl/sharedStrings.xml" Id="Rb576aac02b1f42e2" /><Relationship Type="http://schemas.openxmlformats.org/officeDocument/2006/relationships/worksheet" Target="/xl/worksheets/sheet1.xml" Id="R751f8ade4c154386" /><Relationship Type="http://schemas.openxmlformats.org/officeDocument/2006/relationships/worksheet" Target="/xl/worksheets/sheet2.xml" Id="Ra9f585d49d974fa3" /><Relationship Type="http://schemas.openxmlformats.org/officeDocument/2006/relationships/worksheet" Target="/xl/worksheets/sheet3.xml" Id="R69536b3ef39442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bae04b772b4285" /><Relationship Type="http://schemas.openxmlformats.org/officeDocument/2006/relationships/chart" Target="/xl/drawings/charts/chart2.xml" Id="R7015bc21a96d4e5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2015–25 trend (interpolated)</c:v>
          </c:tx>
          <c:spPr>
            <a:ln xmlns:a="http://schemas.openxmlformats.org/drawingml/2006/main" w="23813">
              <a:solidFill>
                <a:srgbClr val="164C70"/>
              </a:solidFill>
              <a:prstDash val="solid"/>
            </a:ln>
          </c:spPr>
          <c:marker>
            <c:symbol val="none"/>
          </c:marker>
          <c:cat>
            <c:strRef>
              <c:f>'Employment Dashboard'!$A$18:$A$38</c:f>
              <c:strCache>
                <c:ptCount val="0"/>
              </c:strCache>
            </c:strRef>
          </c:cat>
          <c:val>
            <c:numRef>
              <c:f>'Employment Dashboard'!$B$18:$B$38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2025–35 BLS forecast (interpolated)</c:v>
          </c:tx>
          <c:spPr>
            <a:ln xmlns:a="http://schemas.openxmlformats.org/drawingml/2006/main" w="23813">
              <a:solidFill>
                <a:srgbClr val="147D64"/>
              </a:solidFill>
              <a:prstDash val="dash"/>
            </a:ln>
          </c:spPr>
          <c:marker>
            <c:symbol val="none"/>
          </c:marker>
          <c:cat>
            <c:strRef>
              <c:f>'Employment Dashboard'!$A$18:$A$38</c:f>
              <c:strCache>
                <c:ptCount val="0"/>
              </c:strCache>
            </c:strRef>
          </c:cat>
          <c:val>
            <c:numRef>
              <c:f>'Employment Dashboard'!$C$18:$C$38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Past growth extended (not BLS forecast)</c:v>
          </c:tx>
          <c:spPr>
            <a:ln xmlns:a="http://schemas.openxmlformats.org/drawingml/2006/main" w="23813">
              <a:solidFill>
                <a:srgbClr val="A78B56"/>
              </a:solidFill>
              <a:prstDash val="dot"/>
            </a:ln>
          </c:spPr>
          <c:marker>
            <c:symbol val="none"/>
          </c:marker>
          <c:cat>
            <c:strRef>
              <c:f>'Employment Dashboard'!$A$18:$A$38</c:f>
              <c:strCache>
                <c:ptCount val="0"/>
              </c:strCache>
            </c:strRef>
          </c:cat>
          <c:val>
            <c:numRef>
              <c:f>'Employment Dashboard'!$D$18:$D$38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Real industry output index</c:v>
          </c:tx>
          <c:spPr>
            <a:ln xmlns:a="http://schemas.openxmlformats.org/drawingml/2006/main" w="23813">
              <a:solidFill>
                <a:srgbClr val="164C70"/>
              </a:solidFill>
              <a:prstDash val="solid"/>
            </a:ln>
          </c:spPr>
          <c:marker>
            <c:symbol val="none"/>
          </c:marker>
          <c:cat>
            <c:strRef>
              <c:f>'Employment Dashboard'!$A$28:$A$38</c:f>
              <c:strCache>
                <c:ptCount val="0"/>
              </c:strCache>
            </c:strRef>
          </c:cat>
          <c:val>
            <c:numRef>
              <c:f>'Employment Dashboard'!$E$28:$E$38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Industry jobs index</c:v>
          </c:tx>
          <c:spPr>
            <a:ln xmlns:a="http://schemas.openxmlformats.org/drawingml/2006/main" w="23813">
              <a:solidFill>
                <a:srgbClr val="BC795C"/>
              </a:solidFill>
              <a:prstDash val="solid"/>
            </a:ln>
          </c:spPr>
          <c:marker>
            <c:symbol val="none"/>
          </c:marker>
          <c:cat>
            <c:strRef>
              <c:f>'Employment Dashboard'!$A$28:$A$38</c:f>
              <c:strCache>
                <c:ptCount val="0"/>
              </c:strCache>
            </c:strRef>
          </c:cat>
          <c:val>
            <c:numRef>
              <c:f>'Employment Dashboard'!$F$28:$F$38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Real output per job index</c:v>
          </c:tx>
          <c:spPr>
            <a:ln xmlns:a="http://schemas.openxmlformats.org/drawingml/2006/main" w="23813">
              <a:solidFill>
                <a:srgbClr val="147D64"/>
              </a:solidFill>
              <a:prstDash val="dash"/>
            </a:ln>
          </c:spPr>
          <c:marker>
            <c:symbol val="none"/>
          </c:marker>
          <c:cat>
            <c:strRef>
              <c:f>'Employment Dashboard'!$A$28:$A$38</c:f>
              <c:strCache>
                <c:ptCount val="0"/>
              </c:strCache>
            </c:strRef>
          </c:cat>
          <c:val>
            <c:numRef>
              <c:f>'Employment Dashboard'!$G$28:$G$38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bae04b772b4285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18</xdr:col>
      <xdr:colOff>0</xdr:colOff>
      <xdr:row>53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15bc21a96d4e5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235f2bbed7742a0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1" hidden="0" customWidth="1"/>
    <x:col min="7" max="7" width="21" hidden="0" customWidth="1"/>
    <x:col min="8" max="8" width="21" hidden="0" customWidth="1"/>
    <x:col min="9" max="9" width="18" hidden="0" customWidth="1"/>
    <x:col min="10" max="10" width="18" hidden="0" customWidth="1"/>
    <x:col min="11" max="11" width="18" hidden="0" customWidth="1"/>
    <x:col min="12" max="12" width="21" hidden="0" customWidth="1"/>
    <x:col min="13" max="13" width="27" hidden="0" customWidth="1"/>
    <x:col min="14" max="14" width="24" hidden="0" customWidth="1"/>
    <x:col min="15" max="15" width="18" hidden="0" customWidth="1"/>
  </x:cols>
  <x:sheetData>
    <x:row r="1" ht="34" customHeight="1">
      <x:c r="A1" s="3" t="str">
        <x:v>BLS DATA | 2025–2035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0" t="str">
        <x:v>Only official 2015 / 2025 / 2035 anchors are observed or published forecasts. Other years in Dashboard are interpolated.</x:v>
      </x:c>
    </x:row>
    <x:row r="4" ht="42" customHeight="1">
      <x:c r="A4" s="8" t="str">
        <x:v>NAICS</x:v>
      </x:c>
      <x:c r="B4" s="8" t="str">
        <x:v>Industry</x:v>
      </x:c>
      <x:c r="C4" s="8" t="str">
        <x:v>2015 jobs (000s)</x:v>
      </x:c>
      <x:c r="D4" s="8" t="str">
        <x:v>2025 jobs (000s)</x:v>
      </x:c>
      <x:c r="E4" s="8" t="str">
        <x:v>2035 jobs (000s)</x:v>
      </x:c>
      <x:c r="F4" s="8" t="str">
        <x:v>2015 output ($bn real)</x:v>
      </x:c>
      <x:c r="G4" s="8" t="str">
        <x:v>2025 output ($bn real)</x:v>
      </x:c>
      <x:c r="H4" s="8" t="str">
        <x:v>2035 output ($bn real)</x:v>
      </x:c>
      <x:c r="I4" s="8" t="str">
        <x:v>Historic jobs CAGR</x:v>
      </x:c>
      <x:c r="J4" s="8" t="str">
        <x:v>Forecast jobs CAGR</x:v>
      </x:c>
      <x:c r="K4" s="8" t="str">
        <x:v>Forecast output CAGR</x:v>
      </x:c>
      <x:c r="L4" s="8" t="str">
        <x:v>Forecast output / job CAGR</x:v>
      </x:c>
      <x:c r="M4" s="8" t="str">
        <x:v>2035 jobs vs historic trend (000s)</x:v>
      </x:c>
      <x:c r="N4" s="8" t="str">
        <x:v>Forward minus historical jobs CAGR (pp)</x:v>
      </x:c>
      <x:c r="O4" s="8" t="str">
        <x:v>Reconciliation</x:v>
      </x:c>
    </x:row>
    <x:row r="5" ht="19" customHeight="1">
      <x:c r="A5" s="48" t="str">
        <x:v>11</x:v>
      </x:c>
      <x:c r="B5" s="48" t="str">
        <x:v>Agriculture, forestry, fishing, hunting</x:v>
      </x:c>
      <x:c r="C5" s="49" t="n">
        <x:v>1479</x:v>
      </x:c>
      <x:c r="D5" s="49" t="n">
        <x:v>1462.4</x:v>
      </x:c>
      <x:c r="E5" s="49" t="n">
        <x:v>1484.1</x:v>
      </x:c>
      <x:c r="F5" s="49" t="n">
        <x:v>423.5</x:v>
      </x:c>
      <x:c r="G5" s="49" t="n">
        <x:v>459.7</x:v>
      </x:c>
      <x:c r="H5" s="49" t="n">
        <x:v>519.2</x:v>
      </x:c>
      <x:c r="I5" s="50" t="n">
        <x:f>(D5/C5)^(1/10)-1</x:f>
        <x:v>-0.0011280894292757804</x:v>
      </x:c>
      <x:c r="J5" s="50" t="n">
        <x:f>(E5/D5)^(1/10)-1</x:f>
        <x:v>0.0014740459595048439</x:v>
      </x:c>
      <x:c r="K5" s="50" t="n">
        <x:f>(H5/G5)^(1/10)-1</x:f>
        <x:v>0.0122458804825325</x:v>
      </x:c>
      <x:c r="L5" s="50" t="n">
        <x:f>((H5/G5)/(E5/D5))^(1/10)-1</x:f>
        <x:v>0.010755979714588637</x:v>
      </x:c>
      <x:c r="M5" s="51" t="n">
        <x:f>E5-D5*(D5/C5)</x:f>
        <x:v>38.113684922244374</x:v>
      </x:c>
      <x:c r="N5" s="51" t="n">
        <x:f>(J5-I5)*100</x:f>
        <x:v>0.2602135388780624</x:v>
      </x:c>
      <x:c r="O5" s="51" t="str">
        <x:f>IF(AND(C5&gt;0,D5&gt;0,E5&gt;0,G5&gt;0,H5&gt;0),"OK","CHECK")</x:f>
        <x:v>OK</x:v>
      </x:c>
    </x:row>
    <x:row r="6" ht="19" customHeight="1">
      <x:c r="A6" s="48" t="str">
        <x:v>21</x:v>
      </x:c>
      <x:c r="B6" s="48" t="str">
        <x:v>Mining, quarrying, oil and gas</x:v>
      </x:c>
      <x:c r="C6" s="49" t="n">
        <x:v>760.2</x:v>
      </x:c>
      <x:c r="D6" s="49" t="n">
        <x:v>573.5</x:v>
      </x:c>
      <x:c r="E6" s="49" t="n">
        <x:v>577.3</x:v>
      </x:c>
      <x:c r="F6" s="49" t="n">
        <x:v>517.1</x:v>
      </x:c>
      <x:c r="G6" s="49" t="n">
        <x:v>592.9</x:v>
      </x:c>
      <x:c r="H6" s="49" t="n">
        <x:v>703.4</x:v>
      </x:c>
      <x:c r="I6" s="50" t="n">
        <x:f>(D6/C6)^(1/10)-1</x:f>
        <x:v>-0.027788943716869796</x:v>
      </x:c>
      <x:c r="J6" s="50" t="n">
        <x:f>(E6/D6)^(1/10)-1</x:f>
        <x:v>0.000660630670128004</x:v>
      </x:c>
      <x:c r="K6" s="50" t="n">
        <x:f>(H6/G6)^(1/10)-1</x:f>
        <x:v>0.017236866403596673</x:v>
      </x:c>
      <x:c r="L6" s="50" t="n">
        <x:f>((H6/G6)/(E6/D6))^(1/10)-1</x:f>
        <x:v>0.016565292193386094</x:v>
      </x:c>
      <x:c r="M6" s="51" t="n">
        <x:f>E6-D6*(D6/C6)</x:f>
        <x:v>144.6477374375164</x:v>
      </x:c>
      <x:c r="N6" s="51" t="n">
        <x:f>(J6-I6)*100</x:f>
        <x:v>2.84495743869978</x:v>
      </x:c>
      <x:c r="O6" s="51" t="str">
        <x:f>IF(AND(C6&gt;0,D6&gt;0,E6&gt;0,G6&gt;0,H6&gt;0),"OK","CHECK")</x:f>
        <x:v>OK</x:v>
      </x:c>
    </x:row>
    <x:row r="7" ht="19" customHeight="1">
      <x:c r="A7" s="48" t="str">
        <x:v>22</x:v>
      </x:c>
      <x:c r="B7" s="48" t="str">
        <x:v>Utilities</x:v>
      </x:c>
      <x:c r="C7" s="49" t="n">
        <x:v>556</x:v>
      </x:c>
      <x:c r="D7" s="49" t="n">
        <x:v>601.3</x:v>
      </x:c>
      <x:c r="E7" s="49" t="n">
        <x:v>660.1</x:v>
      </x:c>
      <x:c r="F7" s="49" t="n">
        <x:v>497.9</x:v>
      </x:c>
      <x:c r="G7" s="49" t="n">
        <x:v>526.6</x:v>
      </x:c>
      <x:c r="H7" s="49" t="n">
        <x:v>673</x:v>
      </x:c>
      <x:c r="I7" s="50" t="n">
        <x:f>(D7/C7)^(1/10)-1</x:f>
        <x:v>0.007863323187143889</x:v>
      </x:c>
      <x:c r="J7" s="50" t="n">
        <x:f>(E7/D7)^(1/10)-1</x:f>
        <x:v>0.009373393718276946</x:v>
      </x:c>
      <x:c r="K7" s="50" t="n">
        <x:f>(H7/G7)^(1/10)-1</x:f>
        <x:v>0.024833754042849154</x:v>
      </x:c>
      <x:c r="L7" s="50" t="n">
        <x:f>((H7/G7)/(E7/D7))^(1/10)-1</x:f>
        <x:v>0.015316790021203452</x:v>
      </x:c>
      <x:c r="M7" s="51" t="n">
        <x:f>E7-D7*(D7/C7)</x:f>
        <x:v>9.809190647482069</x:v>
      </x:c>
      <x:c r="N7" s="51" t="n">
        <x:f>(J7-I7)*100</x:f>
        <x:v>0.15100705311330564</x:v>
      </x:c>
      <x:c r="O7" s="51" t="str">
        <x:f>IF(AND(C7&gt;0,D7&gt;0,E7&gt;0,G7&gt;0,H7&gt;0),"OK","CHECK")</x:f>
        <x:v>OK</x:v>
      </x:c>
    </x:row>
    <x:row r="8" ht="19" customHeight="1">
      <x:c r="A8" s="48" t="str">
        <x:v>23</x:v>
      </x:c>
      <x:c r="B8" s="48" t="str">
        <x:v>Construction</x:v>
      </x:c>
      <x:c r="C8" s="49" t="n">
        <x:v>6461.4</x:v>
      </x:c>
      <x:c r="D8" s="49" t="n">
        <x:v>8266.7</x:v>
      </x:c>
      <x:c r="E8" s="49" t="n">
        <x:v>8677.4</x:v>
      </x:c>
      <x:c r="F8" s="49" t="n">
        <x:v>1466.8</x:v>
      </x:c>
      <x:c r="G8" s="49" t="n">
        <x:v>1725.8</x:v>
      </x:c>
      <x:c r="H8" s="49" t="n">
        <x:v>1939.6</x:v>
      </x:c>
      <x:c r="I8" s="50" t="n">
        <x:f>(D8/C8)^(1/10)-1</x:f>
        <x:v>0.024944985448943635</x:v>
      </x:c>
      <x:c r="J8" s="50" t="n">
        <x:f>(E8/D8)^(1/10)-1</x:f>
        <x:v>0.004860428535698125</x:v>
      </x:c>
      <x:c r="K8" s="50" t="n">
        <x:f>(H8/G8)^(1/10)-1</x:f>
        <x:v>0.011747572553489904</x:v>
      </x:c>
      <x:c r="L8" s="50" t="n">
        <x:f>((H8/G8)/(E8/D8))^(1/10)-1</x:f>
        <x:v>0.0068538314597859085</x:v>
      </x:c>
      <x:c r="M8" s="51" t="n">
        <x:f>E8-D8*(D8/C8)</x:f>
        <x:v>-1898.9965843315713</x:v>
      </x:c>
      <x:c r="N8" s="51" t="n">
        <x:f>(J8-I8)*100</x:f>
        <x:v>-2.008455691324551</x:v>
      </x:c>
      <x:c r="O8" s="51" t="str">
        <x:f>IF(AND(C8&gt;0,D8&gt;0,E8&gt;0,G8&gt;0,H8&gt;0),"OK","CHECK")</x:f>
        <x:v>OK</x:v>
      </x:c>
    </x:row>
    <x:row r="9" ht="19" customHeight="1">
      <x:c r="A9" s="48" t="str">
        <x:v>31-33</x:v>
      </x:c>
      <x:c r="B9" s="48" t="str">
        <x:v>Manufacturing</x:v>
      </x:c>
      <x:c r="C9" s="49" t="n">
        <x:v>12309.8</x:v>
      </x:c>
      <x:c r="D9" s="49" t="n">
        <x:v>12633.7</x:v>
      </x:c>
      <x:c r="E9" s="49" t="n">
        <x:v>12705.8</x:v>
      </x:c>
      <x:c r="F9" s="49" t="n">
        <x:v>5712.4</x:v>
      </x:c>
      <x:c r="G9" s="49" t="n">
        <x:v>5604.1</x:v>
      </x:c>
      <x:c r="H9" s="49" t="n">
        <x:v>6515.4</x:v>
      </x:c>
      <x:c r="I9" s="50" t="n">
        <x:f>(D9/C9)^(1/10)-1</x:f>
        <x:v>0.002600591049161327</x:v>
      </x:c>
      <x:c r="J9" s="50" t="n">
        <x:f>(E9/D9)^(1/10)-1</x:f>
        <x:v>0.0005692354910324937</x:v>
      </x:c>
      <x:c r="K9" s="50" t="n">
        <x:f>(H9/G9)^(1/10)-1</x:f>
        <x:v>0.015181092946695118</x:v>
      </x:c>
      <x:c r="L9" s="50" t="n">
        <x:f>((H9/G9)/(E9/D9))^(1/10)-1</x:f>
        <x:v>0.014603544599781637</x:v>
      </x:c>
      <x:c r="M9" s="51" t="n">
        <x:f>E9-D9*(D9/C9)</x:f>
        <x:v>-260.32257632130677</x:v>
      </x:c>
      <x:c r="N9" s="51" t="n">
        <x:f>(J9-I9)*100</x:f>
        <x:v>-0.20313555581288334</x:v>
      </x:c>
      <x:c r="O9" s="51" t="str">
        <x:f>IF(AND(C9&gt;0,D9&gt;0,E9&gt;0,G9&gt;0,H9&gt;0),"OK","CHECK")</x:f>
        <x:v>OK</x:v>
      </x:c>
    </x:row>
    <x:row r="10" ht="19" customHeight="1">
      <x:c r="A10" s="48" t="str">
        <x:v>42</x:v>
      </x:c>
      <x:c r="B10" s="48" t="str">
        <x:v>Wholesale trade</x:v>
      </x:c>
      <x:c r="C10" s="49" t="n">
        <x:v>5780.7</x:v>
      </x:c>
      <x:c r="D10" s="49" t="n">
        <x:v>6059.5</x:v>
      </x:c>
      <x:c r="E10" s="49" t="n">
        <x:v>6184.7</x:v>
      </x:c>
      <x:c r="F10" s="49" t="n">
        <x:v>1956.4</x:v>
      </x:c>
      <x:c r="G10" s="49" t="n">
        <x:v>2139.9</x:v>
      </x:c>
      <x:c r="H10" s="49" t="n">
        <x:v>2714.7</x:v>
      </x:c>
      <x:c r="I10" s="50" t="n">
        <x:f>(D10/C10)^(1/10)-1</x:f>
        <x:v>0.004721361248952283</x:v>
      </x:c>
      <x:c r="J10" s="50" t="n">
        <x:f>(E10/D10)^(1/10)-1</x:f>
        <x:v>0.0020472138662182005</x:v>
      </x:c>
      <x:c r="K10" s="50" t="n">
        <x:f>(H10/G10)^(1/10)-1</x:f>
        <x:v>0.02407752842849642</x:v>
      </x:c>
      <x:c r="L10" s="50" t="n">
        <x:f>((H10/G10)/(E10/D10))^(1/10)-1</x:f>
        <x:v>0.021985305939106636</x:v>
      </x:c>
      <x:c r="M10" s="51" t="n">
        <x:f>E10-D10*(D10/C10)</x:f>
        <x:v>-167.04637154669854</x:v>
      </x:c>
      <x:c r="N10" s="51" t="n">
        <x:f>(J10-I10)*100</x:f>
        <x:v>-0.2674147382734082</x:v>
      </x:c>
      <x:c r="O10" s="51" t="str">
        <x:f>IF(AND(C10&gt;0,D10&gt;0,E10&gt;0,G10&gt;0,H10&gt;0),"OK","CHECK")</x:f>
        <x:v>OK</x:v>
      </x:c>
    </x:row>
    <x:row r="11" ht="19" customHeight="1">
      <x:c r="A11" s="48" t="str">
        <x:v>44-45</x:v>
      </x:c>
      <x:c r="B11" s="48" t="str">
        <x:v>Retail trade</x:v>
      </x:c>
      <x:c r="C11" s="49" t="n">
        <x:v>15558.8</x:v>
      </x:c>
      <x:c r="D11" s="49" t="n">
        <x:v>15440.9</x:v>
      </x:c>
      <x:c r="E11" s="49" t="n">
        <x:v>15413.4</x:v>
      </x:c>
      <x:c r="F11" s="49" t="n">
        <x:v>1677.8</x:v>
      </x:c>
      <x:c r="G11" s="49" t="n">
        <x:v>2367.4</x:v>
      </x:c>
      <x:c r="H11" s="49" t="n">
        <x:v>3047.7</x:v>
      </x:c>
      <x:c r="I11" s="50" t="n">
        <x:f>(D11/C11)^(1/10)-1</x:f>
        <x:v>-0.0007603669644581368</x:v>
      </x:c>
      <x:c r="J11" s="50" t="n">
        <x:f>(E11/D11)^(1/10)-1</x:f>
        <x:v>-0.00017824132383659208</x:v>
      </x:c>
      <x:c r="K11" s="50" t="n">
        <x:f>(H11/G11)^(1/10)-1</x:f>
        <x:v>0.02558121419563597</x:v>
      </x:c>
      <x:c r="L11" s="50" t="n">
        <x:f>((H11/G11)/(E11/D11))^(1/10)-1</x:f>
        <x:v>0.02576404773744856</x:v>
      </x:c>
      <x:c r="M11" s="51" t="n">
        <x:f>E11-D11*(D11/C11)</x:f>
        <x:v>89.50658855438814</x:v>
      </x:c>
      <x:c r="N11" s="51" t="n">
        <x:f>(J11-I11)*100</x:f>
        <x:v>0.05821256406215447</x:v>
      </x:c>
      <x:c r="O11" s="51" t="str">
        <x:f>IF(AND(C11&gt;0,D11&gt;0,E11&gt;0,G11&gt;0,H11&gt;0),"OK","CHECK")</x:f>
        <x:v>OK</x:v>
      </x:c>
    </x:row>
    <x:row r="12" ht="19" customHeight="1">
      <x:c r="A12" s="48" t="str">
        <x:v>48-49</x:v>
      </x:c>
      <x:c r="B12" s="48" t="str">
        <x:v>Transportation and warehousing</x:v>
      </x:c>
      <x:c r="C12" s="49" t="n">
        <x:v>4858.7</x:v>
      </x:c>
      <x:c r="D12" s="49" t="n">
        <x:v>6639.5</x:v>
      </x:c>
      <x:c r="E12" s="49" t="n">
        <x:v>6846.8</x:v>
      </x:c>
      <x:c r="F12" s="49" t="n">
        <x:v>1157.7</x:v>
      </x:c>
      <x:c r="G12" s="49" t="n">
        <x:v>1397.4</x:v>
      </x:c>
      <x:c r="H12" s="49" t="n">
        <x:v>1740.2</x:v>
      </x:c>
      <x:c r="I12" s="50" t="n">
        <x:f>(D12/C12)^(1/10)-1</x:f>
        <x:v>0.03171923888638539</x:v>
      </x:c>
      <x:c r="J12" s="50" t="n">
        <x:f>(E12/D12)^(1/10)-1</x:f>
        <x:v>0.0030792040785887487</x:v>
      </x:c>
      <x:c r="K12" s="50" t="n">
        <x:f>(H12/G12)^(1/10)-1</x:f>
        <x:v>0.022181090343076804</x:v>
      </x:c>
      <x:c r="L12" s="50" t="n">
        <x:f>((H12/G12)/(E12/D12))^(1/10)-1</x:f>
        <x:v>0.019043248216908948</x:v>
      </x:c>
      <x:c r="M12" s="51" t="n">
        <x:f>E12-D12*(D12/C12)</x:f>
        <x:v>-2226.194885463191</x:v>
      </x:c>
      <x:c r="N12" s="51" t="n">
        <x:f>(J12-I12)*100</x:f>
        <x:v>-2.8640034807796644</x:v>
      </x:c>
      <x:c r="O12" s="51" t="str">
        <x:f>IF(AND(C12&gt;0,D12&gt;0,E12&gt;0,G12&gt;0,H12&gt;0),"OK","CHECK")</x:f>
        <x:v>OK</x:v>
      </x:c>
    </x:row>
    <x:row r="13" ht="19" customHeight="1">
      <x:c r="A13" s="48" t="str">
        <x:v>51</x:v>
      </x:c>
      <x:c r="B13" s="48" t="str">
        <x:v>Information</x:v>
      </x:c>
      <x:c r="C13" s="49" t="n">
        <x:v>2749.5</x:v>
      </x:c>
      <x:c r="D13" s="49" t="n">
        <x:v>2861.9</x:v>
      </x:c>
      <x:c r="E13" s="49" t="n">
        <x:v>3012.9</x:v>
      </x:c>
      <x:c r="F13" s="49" t="n">
        <x:v>1562.5</x:v>
      </x:c>
      <x:c r="G13" s="49" t="n">
        <x:v>2754</x:v>
      </x:c>
      <x:c r="H13" s="49" t="n">
        <x:v>3782</x:v>
      </x:c>
      <x:c r="I13" s="50" t="n">
        <x:f>(D13/C13)^(1/10)-1</x:f>
        <x:v>0.004014703713946188</x:v>
      </x:c>
      <x:c r="J13" s="50" t="n">
        <x:f>(E13/D13)^(1/10)-1</x:f>
        <x:v>0.005154974410291002</x:v>
      </x:c>
      <x:c r="K13" s="50" t="n">
        <x:f>(H13/G13)^(1/10)-1</x:f>
        <x:v>0.032228293258639296</x:v>
      </x:c>
      <x:c r="L13" s="50" t="n">
        <x:f>((H13/G13)/(E13/D13))^(1/10)-1</x:f>
        <x:v>0.026934472332718506</x:v>
      </x:c>
      <x:c r="M13" s="51" t="n">
        <x:f>E13-D13*(D13/C13)</x:f>
        <x:v>34.00507001272945</x:v>
      </x:c>
      <x:c r="N13" s="51" t="n">
        <x:f>(J13-I13)*100</x:f>
        <x:v>0.11402706963448139</x:v>
      </x:c>
      <x:c r="O13" s="51" t="str">
        <x:f>IF(AND(C13&gt;0,D13&gt;0,E13&gt;0,G13&gt;0,H13&gt;0),"OK","CHECK")</x:f>
        <x:v>OK</x:v>
      </x:c>
    </x:row>
    <x:row r="14" ht="19" customHeight="1">
      <x:c r="A14" s="48" t="str">
        <x:v>52</x:v>
      </x:c>
      <x:c r="B14" s="48" t="str">
        <x:v>Finance and insurance</x:v>
      </x:c>
      <x:c r="C14" s="49" t="n">
        <x:v>6034.7</x:v>
      </x:c>
      <x:c r="D14" s="49" t="n">
        <x:v>6739.3</x:v>
      </x:c>
      <x:c r="E14" s="49" t="n">
        <x:v>6893.6</x:v>
      </x:c>
      <x:c r="F14" s="49" t="n">
        <x:v>2770</x:v>
      </x:c>
      <x:c r="G14" s="49" t="n">
        <x:v>3285.1</x:v>
      </x:c>
      <x:c r="H14" s="49" t="n">
        <x:v>3915.2</x:v>
      </x:c>
      <x:c r="I14" s="50" t="n">
        <x:f>(D14/C14)^(1/10)-1</x:f>
        <x:v>0.011104190767700972</x:v>
      </x:c>
      <x:c r="J14" s="50" t="n">
        <x:f>(E14/D14)^(1/10)-1</x:f>
        <x:v>0.0022663024880149596</x:v>
      </x:c>
      <x:c r="K14" s="50" t="n">
        <x:f>(H14/G14)^(1/10)-1</x:f>
        <x:v>0.017701783894841894</x:v>
      </x:c>
      <x:c r="L14" s="50" t="n">
        <x:f>((H14/G14)/(E14/D14))^(1/10)-1</x:f>
        <x:v>0.01540057903624037</x:v>
      </x:c>
      <x:c r="M14" s="51" t="n">
        <x:f>E14-D14*(D14/C14)</x:f>
        <x:v>-632.5677448754705</x:v>
      </x:c>
      <x:c r="N14" s="51" t="n">
        <x:f>(J14-I14)*100</x:f>
        <x:v>-0.8837888279686013</x:v>
      </x:c>
      <x:c r="O14" s="51" t="str">
        <x:f>IF(AND(C14&gt;0,D14&gt;0,E14&gt;0,G14&gt;0,H14&gt;0),"OK","CHECK")</x:f>
        <x:v>OK</x:v>
      </x:c>
    </x:row>
    <x:row r="15" ht="19" customHeight="1">
      <x:c r="A15" s="48" t="str">
        <x:v>53</x:v>
      </x:c>
      <x:c r="B15" s="48" t="str">
        <x:v>Real estate, rental and leasing</x:v>
      </x:c>
      <x:c r="C15" s="49" t="n">
        <x:v>2088.5</x:v>
      </x:c>
      <x:c r="D15" s="49" t="n">
        <x:v>2456.7</x:v>
      </x:c>
      <x:c r="E15" s="49" t="n">
        <x:v>2539.7</x:v>
      </x:c>
      <x:c r="F15" s="49" t="n">
        <x:v>2024.2</x:v>
      </x:c>
      <x:c r="G15" s="49" t="n">
        <x:v>2851.3</x:v>
      </x:c>
      <x:c r="H15" s="49" t="n">
        <x:v>3474.3</x:v>
      </x:c>
      <x:c r="I15" s="50" t="n">
        <x:f>(D15/C15)^(1/10)-1</x:f>
        <x:v>0.016369829261076108</x:v>
      </x:c>
      <x:c r="J15" s="50" t="n">
        <x:f>(E15/D15)^(1/10)-1</x:f>
        <x:v>0.003328224064965468</x:v>
      </x:c>
      <x:c r="K15" s="50" t="n">
        <x:f>(H15/G15)^(1/10)-1</x:f>
        <x:v>0.019958355911048553</x:v>
      </x:c>
      <x:c r="L15" s="50" t="n">
        <x:f>((H15/G15)/(E15/D15))^(1/10)-1</x:f>
        <x:v>0.016574966643224887</x:v>
      </x:c>
      <x:c r="M15" s="51" t="n">
        <x:f>E15-D15*(D15/C15)</x:f>
        <x:v>-350.11321043811313</x:v>
      </x:c>
      <x:c r="N15" s="51" t="n">
        <x:f>(J15-I15)*100</x:f>
        <x:v>-1.304160519611064</x:v>
      </x:c>
      <x:c r="O15" s="51" t="str">
        <x:f>IF(AND(C15&gt;0,D15&gt;0,E15&gt;0,G15&gt;0,H15&gt;0),"OK","CHECK")</x:f>
        <x:v>OK</x:v>
      </x:c>
    </x:row>
    <x:row r="16" ht="19" customHeight="1">
      <x:c r="A16" s="48" t="str">
        <x:v>54</x:v>
      </x:c>
      <x:c r="B16" s="48" t="str">
        <x:v>Professional, scientific, technical services</x:v>
      </x:c>
      <x:c r="C16" s="49" t="n">
        <x:v>8658.4</x:v>
      </x:c>
      <x:c r="D16" s="49" t="n">
        <x:v>10779.2</x:v>
      </x:c>
      <x:c r="E16" s="49" t="n">
        <x:v>11705.9</x:v>
      </x:c>
      <x:c r="F16" s="49" t="n">
        <x:v>2029.8</x:v>
      </x:c>
      <x:c r="G16" s="49" t="n">
        <x:v>3229</x:v>
      </x:c>
      <x:c r="H16" s="49" t="n">
        <x:v>4133.5</x:v>
      </x:c>
      <x:c r="I16" s="50" t="n">
        <x:f>(D16/C16)^(1/10)-1</x:f>
        <x:v>0.022150601304104622</x:v>
      </x:c>
      <x:c r="J16" s="50" t="n">
        <x:f>(E16/D16)^(1/10)-1</x:f>
        <x:v>0.008281567719535143</x:v>
      </x:c>
      <x:c r="K16" s="50" t="n">
        <x:f>(H16/G16)^(1/10)-1</x:f>
        <x:v>0.025002653526585483</x:v>
      </x:c>
      <x:c r="L16" s="50" t="n">
        <x:f>((H16/G16)/(E16/D16))^(1/10)-1</x:f>
        <x:v>0.016583746388292298</x:v>
      </x:c>
      <x:c r="M16" s="51" t="n">
        <x:f>E16-D16*(D16/C16)</x:f>
        <x:v>-1713.571569805048</x:v>
      </x:c>
      <x:c r="N16" s="51" t="n">
        <x:f>(J16-I16)*100</x:f>
        <x:v>-1.386903358456948</x:v>
      </x:c>
      <x:c r="O16" s="51" t="str">
        <x:f>IF(AND(C16&gt;0,D16&gt;0,E16&gt;0,G16&gt;0,H16&gt;0),"OK","CHECK")</x:f>
        <x:v>OK</x:v>
      </x:c>
    </x:row>
    <x:row r="17" ht="19" customHeight="1">
      <x:c r="A17" s="48" t="str">
        <x:v>55</x:v>
      </x:c>
      <x:c r="B17" s="48" t="str">
        <x:v>Management of companies</x:v>
      </x:c>
      <x:c r="C17" s="49" t="n">
        <x:v>2292.6</x:v>
      </x:c>
      <x:c r="D17" s="49" t="n">
        <x:v>2623.7</x:v>
      </x:c>
      <x:c r="E17" s="49" t="n">
        <x:v>2730.4</x:v>
      </x:c>
      <x:c r="F17" s="49" t="n">
        <x:v>542.5</x:v>
      </x:c>
      <x:c r="G17" s="49" t="n">
        <x:v>844.9</x:v>
      </x:c>
      <x:c r="H17" s="49" t="n">
        <x:v>1084.1</x:v>
      </x:c>
      <x:c r="I17" s="50" t="n">
        <x:f>(D17/C17)^(1/10)-1</x:f>
        <x:v>0.013581298272459463</x:v>
      </x:c>
      <x:c r="J17" s="50" t="n">
        <x:f>(E17/D17)^(1/10)-1</x:f>
        <x:v>0.003994214028679499</x:v>
      </x:c>
      <x:c r="K17" s="50" t="n">
        <x:f>(H17/G17)^(1/10)-1</x:f>
        <x:v>0.0252420336957484</x:v>
      </x:c>
      <x:c r="L17" s="50" t="n">
        <x:f>((H17/G17)/(E17/D17))^(1/10)-1</x:f>
        <x:v>0.02116328896140618</x:v>
      </x:c>
      <x:c r="M17" s="51" t="n">
        <x:f>E17-D17*(D17/C17)</x:f>
        <x:v>-272.217853092558</x:v>
      </x:c>
      <x:c r="N17" s="51" t="n">
        <x:f>(J17-I17)*100</x:f>
        <x:v>-0.9587084243779964</x:v>
      </x:c>
      <x:c r="O17" s="51" t="str">
        <x:f>IF(AND(C17&gt;0,D17&gt;0,E17&gt;0,G17&gt;0,H17&gt;0),"OK","CHECK")</x:f>
        <x:v>OK</x:v>
      </x:c>
    </x:row>
    <x:row r="18" ht="19" customHeight="1">
      <x:c r="A18" s="48" t="str">
        <x:v>56</x:v>
      </x:c>
      <x:c r="B18" s="48" t="str">
        <x:v>Administrative support, waste management</x:v>
      </x:c>
      <x:c r="C18" s="49" t="n">
        <x:v>8823.2</x:v>
      </x:c>
      <x:c r="D18" s="49" t="n">
        <x:v>9013.1</x:v>
      </x:c>
      <x:c r="E18" s="49" t="n">
        <x:v>9093.5</x:v>
      </x:c>
      <x:c r="F18" s="49" t="n">
        <x:v>940.7</x:v>
      </x:c>
      <x:c r="G18" s="49" t="n">
        <x:v>1239.5</x:v>
      </x:c>
      <x:c r="H18" s="49" t="n">
        <x:v>1500.8</x:v>
      </x:c>
      <x:c r="I18" s="50" t="n">
        <x:f>(D18/C18)^(1/10)-1</x:f>
        <x:v>0.0021317147388126845</x:v>
      </x:c>
      <x:c r="J18" s="50" t="n">
        <x:f>(E18/D18)^(1/10)-1</x:f>
        <x:v>0.000888474258359917</x:v>
      </x:c>
      <x:c r="K18" s="50" t="n">
        <x:f>(H18/G18)^(1/10)-1</x:f>
        <x:v>0.019313154646193764</x:v>
      </x:c>
      <x:c r="L18" s="50" t="n">
        <x:f>((H18/G18)/(E18/D18))^(1/10)-1</x:f>
        <x:v>0.01840832506487433</x:v>
      </x:c>
      <x:c r="M18" s="51" t="n">
        <x:f>E18-D18*(D18/C18)</x:f>
        <x:v>-113.58718038806728</x:v>
      </x:c>
      <x:c r="N18" s="51" t="n">
        <x:f>(J18-I18)*100</x:f>
        <x:v>-0.12432404804527675</x:v>
      </x:c>
      <x:c r="O18" s="51" t="str">
        <x:f>IF(AND(C18&gt;0,D18&gt;0,E18&gt;0,G18&gt;0,H18&gt;0),"OK","CHECK")</x:f>
        <x:v>OK</x:v>
      </x:c>
    </x:row>
    <x:row r="19" ht="19" customHeight="1">
      <x:c r="A19" s="48" t="str">
        <x:v>61</x:v>
      </x:c>
      <x:c r="B19" s="48" t="str">
        <x:v>Educational services (private)</x:v>
      </x:c>
      <x:c r="C19" s="49" t="n">
        <x:v>3471.9</x:v>
      </x:c>
      <x:c r="D19" s="49" t="n">
        <x:v>4048.8</x:v>
      </x:c>
      <x:c r="E19" s="49" t="n">
        <x:v>4150.9</x:v>
      </x:c>
      <x:c r="F19" s="49" t="n">
        <x:v>354.5</x:v>
      </x:c>
      <x:c r="G19" s="49" t="n">
        <x:v>412.9</x:v>
      </x:c>
      <x:c r="H19" s="49" t="n">
        <x:v>481.1</x:v>
      </x:c>
      <x:c r="I19" s="50" t="n">
        <x:f>(D19/C19)^(1/10)-1</x:f>
        <x:v>0.015490609308181913</x:v>
      </x:c>
      <x:c r="J19" s="50" t="n">
        <x:f>(E19/D19)^(1/10)-1</x:f>
        <x:v>0.002493567509114447</x:v>
      </x:c>
      <x:c r="K19" s="50" t="n">
        <x:f>(H19/G19)^(1/10)-1</x:f>
        <x:v>0.01540441501975054</x:v>
      </x:c>
      <x:c r="L19" s="50" t="n">
        <x:f>((H19/G19)/(E19/D19))^(1/10)-1</x:f>
        <x:v>0.012878733519174235</x:v>
      </x:c>
      <x:c r="M19" s="51" t="n">
        <x:f>E19-D19*(D19/C19)</x:f>
        <x:v>-570.6592154151913</x:v>
      </x:c>
      <x:c r="N19" s="51" t="n">
        <x:f>(J19-I19)*100</x:f>
        <x:v>-1.2997041799067466</x:v>
      </x:c>
      <x:c r="O19" s="51" t="str">
        <x:f>IF(AND(C19&gt;0,D19&gt;0,E19&gt;0,G19&gt;0,H19&gt;0),"OK","CHECK")</x:f>
        <x:v>OK</x:v>
      </x:c>
    </x:row>
    <x:row r="20" ht="19" customHeight="1">
      <x:c r="A20" s="48" t="str">
        <x:v>62</x:v>
      </x:c>
      <x:c r="B20" s="48" t="str">
        <x:v>Healthcare and social assistance (private)</x:v>
      </x:c>
      <x:c r="C20" s="49" t="n">
        <x:v>18557.3</x:v>
      </x:c>
      <x:c r="D20" s="49" t="n">
        <x:v>23290</x:v>
      </x:c>
      <x:c r="E20" s="49" t="n">
        <x:v>25494.8</x:v>
      </x:c>
      <x:c r="F20" s="49" t="n">
        <x:v>2242.1</x:v>
      </x:c>
      <x:c r="G20" s="49" t="n">
        <x:v>3085.7</x:v>
      </x:c>
      <x:c r="H20" s="49" t="n">
        <x:v>4170.2</x:v>
      </x:c>
      <x:c r="I20" s="50" t="n">
        <x:f>(D20/C20)^(1/10)-1</x:f>
        <x:v>0.022976059171101237</x:v>
      </x:c>
      <x:c r="J20" s="50" t="n">
        <x:f>(E20/D20)^(1/10)-1</x:f>
        <x:v>0.009086072600963169</x:v>
      </x:c>
      <x:c r="K20" s="50" t="n">
        <x:f>(H20/G20)^(1/10)-1</x:f>
        <x:v>0.03057669748814318</x:v>
      </x:c>
      <x:c r="L20" s="50" t="n">
        <x:f>((H20/G20)/(E20/D20))^(1/10)-1</x:f>
        <x:v>0.02129711772930043</x:v>
      </x:c>
      <x:c r="M20" s="51" t="n">
        <x:f>E20-D20*(D20/C20)</x:f>
        <x:v>-3734.8885861628587</x:v>
      </x:c>
      <x:c r="N20" s="51" t="n">
        <x:f>(J20-I20)*100</x:f>
        <x:v>-1.3889986570138069</x:v>
      </x:c>
      <x:c r="O20" s="51" t="str">
        <x:f>IF(AND(C20&gt;0,D20&gt;0,E20&gt;0,G20&gt;0,H20&gt;0),"OK","CHECK")</x:f>
        <x:v>OK</x:v>
      </x:c>
    </x:row>
    <x:row r="21" ht="19" customHeight="1">
      <x:c r="A21" s="48" t="str">
        <x:v>71</x:v>
      </x:c>
      <x:c r="B21" s="48" t="str">
        <x:v>Arts, entertainment and recreation</x:v>
      </x:c>
      <x:c r="C21" s="49" t="n">
        <x:v>2166.7</x:v>
      </x:c>
      <x:c r="D21" s="49" t="n">
        <x:v>2681.7</x:v>
      </x:c>
      <x:c r="E21" s="49" t="n">
        <x:v>2834.8</x:v>
      </x:c>
      <x:c r="F21" s="49" t="n">
        <x:v>324.9</x:v>
      </x:c>
      <x:c r="G21" s="49" t="n">
        <x:v>461.3</x:v>
      </x:c>
      <x:c r="H21" s="49" t="n">
        <x:v>578</x:v>
      </x:c>
      <x:c r="I21" s="50" t="n">
        <x:f>(D21/C21)^(1/10)-1</x:f>
        <x:v>0.021553558270425377</x:v>
      </x:c>
      <x:c r="J21" s="50" t="n">
        <x:f>(E21/D21)^(1/10)-1</x:f>
        <x:v>0.005567487791719561</x:v>
      </x:c>
      <x:c r="K21" s="50" t="n">
        <x:f>(H21/G21)^(1/10)-1</x:f>
        <x:v>0.022808758658439565</x:v>
      </x:c>
      <x:c r="L21" s="50" t="n">
        <x:f>((H21/G21)/(E21/D21))^(1/10)-1</x:f>
        <x:v>0.017145811769017083</x:v>
      </x:c>
      <x:c r="M21" s="51" t="n">
        <x:f>E21-D21*(D21/C21)</x:f>
        <x:v>-484.309655236073</x:v>
      </x:c>
      <x:c r="N21" s="51" t="n">
        <x:f>(J21-I21)*100</x:f>
        <x:v>-1.5986070478705816</x:v>
      </x:c>
      <x:c r="O21" s="51" t="str">
        <x:f>IF(AND(C21&gt;0,D21&gt;0,E21&gt;0,G21&gt;0,H21&gt;0),"OK","CHECK")</x:f>
        <x:v>OK</x:v>
      </x:c>
    </x:row>
    <x:row r="22" ht="19" customHeight="1">
      <x:c r="A22" s="48" t="str">
        <x:v>72</x:v>
      </x:c>
      <x:c r="B22" s="48" t="str">
        <x:v>Accommodation and food services</x:v>
      </x:c>
      <x:c r="C22" s="49" t="n">
        <x:v>12994</x:v>
      </x:c>
      <x:c r="D22" s="49" t="n">
        <x:v>14202.1</x:v>
      </x:c>
      <x:c r="E22" s="49" t="n">
        <x:v>14809.5</x:v>
      </x:c>
      <x:c r="F22" s="49" t="n">
        <x:v>1046.7</x:v>
      </x:c>
      <x:c r="G22" s="49" t="n">
        <x:v>1307.8</x:v>
      </x:c>
      <x:c r="H22" s="49" t="n">
        <x:v>1644.7</x:v>
      </x:c>
      <x:c r="I22" s="50" t="n">
        <x:f>(D22/C22)^(1/10)-1</x:f>
        <x:v>0.008929848164531018</x:v>
      </x:c>
      <x:c r="J22" s="50" t="n">
        <x:f>(E22/D22)^(1/10)-1</x:f>
        <x:v>0.004196684092476977</x:v>
      </x:c>
      <x:c r="K22" s="50" t="n">
        <x:f>(H22/G22)^(1/10)-1</x:f>
        <x:v>0.02318587459589594</x:v>
      </x:c>
      <x:c r="L22" s="50" t="n">
        <x:f>((H22/G22)/(E22/D22))^(1/10)-1</x:f>
        <x:v>0.018909831912639508</x:v>
      </x:c>
      <x:c r="M22" s="51" t="n">
        <x:f>E22-D22*(D22/C22)</x:f>
        <x:v>-713.0215030013878</x:v>
      </x:c>
      <x:c r="N22" s="51" t="n">
        <x:f>(J22-I22)*100</x:f>
        <x:v>-0.47331640720540413</x:v>
      </x:c>
      <x:c r="O22" s="51" t="str">
        <x:f>IF(AND(C22&gt;0,D22&gt;0,E22&gt;0,G22&gt;0,H22&gt;0),"OK","CHECK")</x:f>
        <x:v>OK</x:v>
      </x:c>
    </x:row>
    <x:row r="23" ht="19" customHeight="1">
      <x:c r="A23" s="48" t="str">
        <x:v>81</x:v>
      </x:c>
      <x:c r="B23" s="48" t="str">
        <x:v>Other services</x:v>
      </x:c>
      <x:c r="C23" s="49" t="n">
        <x:v>6420.6</x:v>
      </x:c>
      <x:c r="D23" s="49" t="n">
        <x:v>6575.7</x:v>
      </x:c>
      <x:c r="E23" s="49" t="n">
        <x:v>6822.6</x:v>
      </x:c>
      <x:c r="F23" s="49" t="n">
        <x:v>677.1</x:v>
      </x:c>
      <x:c r="G23" s="49" t="n">
        <x:v>780.1</x:v>
      </x:c>
      <x:c r="H23" s="49" t="n">
        <x:v>942.4</x:v>
      </x:c>
      <x:c r="I23" s="50" t="n">
        <x:f>(D23/C23)^(1/10)-1</x:f>
        <x:v>0.002389797524399828</x:v>
      </x:c>
      <x:c r="J23" s="50" t="n">
        <x:f>(E23/D23)^(1/10)-1</x:f>
        <x:v>0.003692760962822783</x:v>
      </x:c>
      <x:c r="K23" s="50" t="n">
        <x:f>(H23/G23)^(1/10)-1</x:f>
        <x:v>0.01908051986323467</x:v>
      </x:c>
      <x:c r="L23" s="50" t="n">
        <x:f>((H23/G23)/(E23/D23))^(1/10)-1</x:f>
        <x:v>0.01533114464794072</x:v>
      </x:c>
      <x:c r="M23" s="51" t="n">
        <x:f>E23-D23*(D23/C23)</x:f>
        <x:v>88.0533081020476</x:v>
      </x:c>
      <x:c r="N23" s="51" t="n">
        <x:f>(J23-I23)*100</x:f>
        <x:v>0.1302963438422955</x:v>
      </x:c>
      <x:c r="O23" s="51" t="str">
        <x:f>IF(AND(C23&gt;0,D23&gt;0,E23&gt;0,G23&gt;0,H23&gt;0),"OK","CHECK")</x:f>
        <x:v>OK</x:v>
      </x:c>
    </x:row>
    <x:row r="26">
      <x:c r="A26" t="str">
        <x:v>EMPLOYMENT SOURCE</x:v>
      </x:c>
      <x:c r="B26" t="str">
        <x:v>BLS Table 2.1, Employment by major industry sector, 2015 / 2025 / projected 2035</x:v>
      </x:c>
    </x:row>
    <x:row r="27">
      <x:c r="B27" t="str">
        <x:v>https://www.bls.gov/emp/tables/employment-by-major-industry-sector.htm</x:v>
      </x:c>
    </x:row>
    <x:row r="29">
      <x:c r="A29" t="str">
        <x:v>OUTPUT SOURCE</x:v>
      </x:c>
      <x:c r="B29" t="str">
        <x:v>BLS Table 2.2, Output by major industry sector, 2015 / 2025 / projected 2035</x:v>
      </x:c>
    </x:row>
    <x:row r="30">
      <x:c r="B30" t="str">
        <x:v>https://www.bls.gov/emp/tables/output-by-major-industry-sector.htm</x:v>
      </x:c>
    </x:row>
    <x:row r="32">
      <x:c r="A32" t="str">
        <x:v>NOTES</x:v>
      </x:c>
      <x:c r="B32" t="str">
        <x:v>Private-only for NAICS 61 and 62. 48–49 mapped to BLS 48, 492, 493 sector scope.</x:v>
      </x:c>
    </x:row>
    <x:row r="33">
      <x:c r="B33" t="str">
        <x:v>All forecast rates are calculated from raw official endpoints, not read from rounded published CAGR columns.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9" hidden="0" customWidth="1"/>
    <x:col min="4" max="4" width="27" hidden="0" customWidth="1"/>
    <x:col min="5" max="5" width="20" hidden="0" customWidth="1"/>
    <x:col min="6" max="6" width="20" hidden="0" customWidth="1"/>
    <x:col min="7" max="7" width="24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4" customHeight="1">
      <x:c r="A1" s="3" t="str">
        <x:v>AI &amp; LABOR DEMAND  |  BLS 2025–2035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2" customHeight="1">
      <x:c r="A2" s="58" t="str">
        <x:v>Historical job growth vs forward projections • Real output can grow faster than employment • NOT an AI-only causal estimate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</x:row>
    <x:row r="4" ht="26" customHeight="1">
      <x:c r="A4" t="str">
        <x:v>SELECT NAICS (EDIT BLUE CELL)</x:v>
      </x:c>
      <x:c r="C4" s="13" t="str">
        <x:v>52</x:v>
      </x:c>
      <x:c r="E4" t="str">
        <x:v>SECTOR</x:v>
      </x:c>
      <x:c r="F4" s="16" t="str">
        <x:f>_xlfn.XLOOKUP(C4,'BLS Data'!$A$5:$A$23,'BLS Data'!$B$5:$B$23)</x:f>
        <x:v>Finance and insurance</x:v>
      </x:c>
    </x:row>
    <x:row r="6" ht="23" customHeight="1">
      <x:c r="A6" s="19" t="str">
        <x:v>2015 JOBS (M)</x:v>
      </x:c>
      <x:c r="B6" s="19"/>
      <x:c r="C6" s="19"/>
      <x:c r="D6" s="19" t="str">
        <x:v>2025 JOBS (M)</x:v>
      </x:c>
      <x:c r="E6" s="19"/>
      <x:c r="F6" s="19"/>
      <x:c r="G6" s="19" t="str">
        <x:v>2035 JOBS (M)</x:v>
      </x:c>
      <x:c r="H6" s="19"/>
      <x:c r="I6" s="19"/>
    </x:row>
    <x:row r="7" ht="28" customHeight="1">
      <x:c r="C7" s="30" t="n">
        <x:f>_xlfn.XLOOKUP($C$4,'BLS Data'!$A$5:$A$23,'BLS Data'!$C$5:$C$23)/1000</x:f>
        <x:v>6.0347</x:v>
      </x:c>
      <x:c r="D7" s="31"/>
      <x:c r="E7" s="31"/>
      <x:c r="F7" s="30" t="n">
        <x:f>_xlfn.XLOOKUP($C$4,'BLS Data'!$A$5:$A$23,'BLS Data'!$D$5:$D$23)/1000</x:f>
        <x:v>6.7393</x:v>
      </x:c>
      <x:c r="G7" s="31"/>
      <x:c r="H7" s="31"/>
      <x:c r="I7" s="30" t="n">
        <x:f>_xlfn.XLOOKUP($C$4,'BLS Data'!$A$5:$A$23,'BLS Data'!$E$5:$E$23)/1000</x:f>
        <x:v>6.8936</x:v>
      </x:c>
    </x:row>
    <x:row r="8" ht="23" customHeight="1">
      <x:c r="A8" s="19" t="str">
        <x:v>2015–25 JOBS CAGR</x:v>
      </x:c>
      <x:c r="B8" s="19"/>
      <x:c r="C8" s="19"/>
      <x:c r="D8" s="19" t="str">
        <x:v>2025–35 JOBS CAGR</x:v>
      </x:c>
      <x:c r="E8" s="19"/>
      <x:c r="F8" s="19"/>
      <x:c r="G8" s="19" t="str">
        <x:v>GROWTH CHANGE (pp)</x:v>
      </x:c>
      <x:c r="H8" s="19"/>
      <x:c r="I8" s="19"/>
    </x:row>
    <x:row r="9" ht="28" customHeight="1">
      <x:c r="C9" s="26" t="n">
        <x:f>(F7/C7)^(1/10)-1</x:f>
        <x:v>0.011104190767700972</x:v>
      </x:c>
      <x:c r="F9" s="26" t="n">
        <x:f>(I7/F7)^(1/10)-1</x:f>
        <x:v>0.0022663024880149596</x:v>
      </x:c>
      <x:c r="I9" s="28" t="n">
        <x:f>(F9-C9)*100</x:f>
        <x:v>-0.8837888279686013</x:v>
      </x:c>
    </x:row>
    <x:row r="10" ht="23" customHeight="1">
      <x:c r="A10" s="19" t="str">
        <x:v>2025 REAL OUTPUT ($bn)</x:v>
      </x:c>
      <x:c r="B10" s="19"/>
      <x:c r="C10" s="19"/>
      <x:c r="D10" s="19" t="str">
        <x:v>2035 REAL OUTPUT ($bn)</x:v>
      </x:c>
      <x:c r="E10" s="19"/>
      <x:c r="F10" s="19"/>
      <x:c r="G10" s="19" t="str">
        <x:v>REAL OUTPUT / JOB GROWTH</x:v>
      </x:c>
      <x:c r="H10" s="19"/>
      <x:c r="I10" s="19"/>
    </x:row>
    <x:row r="11" ht="28" customHeight="1">
      <x:c r="C11" s="30" t="n">
        <x:f>_xlfn.XLOOKUP($C$4,'BLS Data'!$A$5:$A$23,'BLS Data'!$G$5:$G$23)</x:f>
        <x:v>3285.1</x:v>
      </x:c>
      <x:c r="D11" s="31"/>
      <x:c r="E11" s="31"/>
      <x:c r="F11" s="30" t="n">
        <x:f>_xlfn.XLOOKUP($C$4,'BLS Data'!$A$5:$A$23,'BLS Data'!$H$5:$H$23)</x:f>
        <x:v>3915.2</x:v>
      </x:c>
      <x:c r="G11" s="31"/>
      <x:c r="H11" s="31"/>
      <x:c r="I11" s="30" t="n">
        <x:f>(F11/C11)/(I7/F7)-1</x:f>
        <x:v>0.16512914838134862</x:v>
      </x:c>
    </x:row>
    <x:row r="12" ht="23" customHeight="1">
      <x:c r="A12" s="19" t="str">
        <x:v>2035 VS HISTORICAL TREND (M JOBS)</x:v>
      </x:c>
      <x:c r="B12" s="19"/>
      <x:c r="C12" s="19"/>
      <x:c r="D12" s="19" t="str">
        <x:v>2025–35 JOB CHANGE</x:v>
      </x:c>
      <x:c r="E12" s="19"/>
      <x:c r="F12" s="19"/>
      <x:c r="G12" s="19" t="str">
        <x:v>2025–35 REAL OUTPUT CHANGE</x:v>
      </x:c>
      <x:c r="H12" s="19"/>
      <x:c r="I12" s="19"/>
    </x:row>
    <x:row r="13" ht="28" customHeight="1">
      <x:c r="C13" s="30" t="n">
        <x:f>I7-F7*(1+C9)^10</x:f>
        <x:v>-0.6325677448754661</x:v>
      </x:c>
      <x:c r="F13" s="26" t="n">
        <x:f>I7/F7-1</x:f>
        <x:v>0.022895552950603193</x:v>
      </x:c>
      <x:c r="I13" s="26" t="n">
        <x:f>F11/C11-1</x:f>
        <x:v>0.191805424492405</x:v>
      </x:c>
    </x:row>
    <x:row r="15" ht="25" customHeight="1">
      <x:c r="A15" s="6" t="str">
        <x:v>INTERPRETATION  |  A slower job path is consistent with greater labor efficiency, not proof that AI caused the slowdown.</x:v>
      </x:c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</x:row>
    <x:row r="17" ht="40" customHeight="1">
      <x:c r="A17" s="8" t="str">
        <x:v>Year</x:v>
      </x:c>
      <x:c r="B17" s="8" t="str">
        <x:v>History (M jobs)</x:v>
      </x:c>
      <x:c r="C17" s="8" t="str">
        <x:v>BLS projected (M jobs)</x:v>
      </x:c>
      <x:c r="D17" s="8" t="str">
        <x:v>Past CAGR extended (M jobs)</x:v>
      </x:c>
      <x:c r="E17" s="8" t="str">
        <x:v>Output index 2025=100</x:v>
      </x:c>
      <x:c r="F17" s="8" t="str">
        <x:v>Jobs index 2025=100</x:v>
      </x:c>
      <x:c r="G17" s="8" t="str">
        <x:v>Output / job index 2025=100</x:v>
      </x:c>
      <x:c r="H17" s="8" t="str">
        <x:v>Official anchor?</x:v>
      </x:c>
    </x:row>
    <x:row r="18">
      <x:c r="A18" t="n">
        <x:v>2015</x:v>
      </x:c>
      <x:c r="B18" s="31" t="n">
        <x:f>$C$7*(1+$C$9)^(A18-2015)</x:f>
        <x:v>6.0347</x:v>
      </x:c>
      <x:c r="C18" s="31"/>
      <x:c r="D18" s="31"/>
      <x:c r="E18" s="44"/>
      <x:c r="F18" s="44"/>
      <x:c r="G18" s="44"/>
      <x:c r="H18" t="str">
        <x:v>OFFICIAL</x:v>
      </x:c>
    </x:row>
    <x:row r="19">
      <x:c r="A19" t="n">
        <x:v>2016</x:v>
      </x:c>
      <x:c r="B19" s="31" t="n">
        <x:f>$C$7*(1+$C$9)^(A19-2015)</x:f>
        <x:v>6.101710460025845</x:v>
      </x:c>
      <x:c r="C19" s="31"/>
      <x:c r="D19" s="31"/>
      <x:c r="E19" s="44"/>
      <x:c r="F19" s="44"/>
      <x:c r="G19" s="44"/>
      <x:c r="H19" t="str">
        <x:v>Interpolated</x:v>
      </x:c>
    </x:row>
    <x:row r="20">
      <x:c r="A20" t="n">
        <x:v>2017</x:v>
      </x:c>
      <x:c r="B20" s="31" t="n">
        <x:f>$C$7*(1+$C$9)^(A20-2015)</x:f>
        <x:v>6.169465016983248</x:v>
      </x:c>
      <x:c r="C20" s="31"/>
      <x:c r="D20" s="31"/>
      <x:c r="E20" s="44"/>
      <x:c r="F20" s="44"/>
      <x:c r="G20" s="44"/>
      <x:c r="H20" t="str">
        <x:v>Interpolated</x:v>
      </x:c>
    </x:row>
    <x:row r="21">
      <x:c r="A21" t="n">
        <x:v>2018</x:v>
      </x:c>
      <x:c r="B21" s="31" t="n">
        <x:f>$C$7*(1+$C$9)^(A21-2015)</x:f>
        <x:v>6.237971933466488</x:v>
      </x:c>
      <x:c r="C21" s="31"/>
      <x:c r="D21" s="31"/>
      <x:c r="E21" s="44"/>
      <x:c r="F21" s="44"/>
      <x:c r="G21" s="44"/>
      <x:c r="H21" t="str">
        <x:v>Interpolated</x:v>
      </x:c>
    </x:row>
    <x:row r="22">
      <x:c r="A22" t="n">
        <x:v>2019</x:v>
      </x:c>
      <x:c r="B22" s="31" t="n">
        <x:f>$C$7*(1+$C$9)^(A22-2015)</x:f>
        <x:v>6.307239563819265</x:v>
      </x:c>
      <x:c r="C22" s="31"/>
      <x:c r="D22" s="31"/>
      <x:c r="E22" s="44"/>
      <x:c r="F22" s="44"/>
      <x:c r="G22" s="44"/>
      <x:c r="H22" t="str">
        <x:v>Interpolated</x:v>
      </x:c>
    </x:row>
    <x:row r="23">
      <x:c r="A23" t="n">
        <x:v>2020</x:v>
      </x:c>
      <x:c r="B23" s="31" t="n">
        <x:f>$C$7*(1+$C$9)^(A23-2015)</x:f>
        <x:v>6.377276355153505</x:v>
      </x:c>
      <x:c r="C23" s="31"/>
      <x:c r="D23" s="31"/>
      <x:c r="E23" s="44"/>
      <x:c r="F23" s="44"/>
      <x:c r="G23" s="44"/>
      <x:c r="H23" t="str">
        <x:v>Interpolated</x:v>
      </x:c>
    </x:row>
    <x:row r="24">
      <x:c r="A24" t="n">
        <x:v>2021</x:v>
      </x:c>
      <x:c r="B24" s="31" t="n">
        <x:f>$C$7*(1+$C$9)^(A24-2015)</x:f>
        <x:v>6.448090848379479</x:v>
      </x:c>
      <x:c r="C24" s="31"/>
      <x:c r="D24" s="31"/>
      <x:c r="E24" s="44"/>
      <x:c r="F24" s="44"/>
      <x:c r="G24" s="44"/>
      <x:c r="H24" t="str">
        <x:v>Interpolated</x:v>
      </x:c>
    </x:row>
    <x:row r="25">
      <x:c r="A25" t="n">
        <x:v>2022</x:v>
      </x:c>
      <x:c r="B25" s="31" t="n">
        <x:f>$C$7*(1+$C$9)^(A25-2015)</x:f>
        <x:v>6.519691679247352</x:v>
      </x:c>
      <x:c r="C25" s="31"/>
      <x:c r="D25" s="31"/>
      <x:c r="E25" s="44"/>
      <x:c r="F25" s="44"/>
      <x:c r="G25" s="44"/>
      <x:c r="H25" t="str">
        <x:v>Interpolated</x:v>
      </x:c>
    </x:row>
    <x:row r="26">
      <x:c r="A26" t="n">
        <x:v>2023</x:v>
      </x:c>
      <x:c r="B26" s="31" t="n">
        <x:f>$C$7*(1+$C$9)^(A26-2015)</x:f>
        <x:v>6.5920875794003075</x:v>
      </x:c>
      <x:c r="C26" s="31"/>
      <x:c r="D26" s="31"/>
      <x:c r="E26" s="44"/>
      <x:c r="F26" s="44"/>
      <x:c r="G26" s="44"/>
      <x:c r="H26" t="str">
        <x:v>Interpolated</x:v>
      </x:c>
    </x:row>
    <x:row r="27">
      <x:c r="A27" t="n">
        <x:v>2024</x:v>
      </x:c>
      <x:c r="B27" s="31" t="n">
        <x:f>$C$7*(1+$C$9)^(A27-2015)</x:f>
        <x:v>6.665287377439361</x:v>
      </x:c>
      <x:c r="C27" s="31"/>
      <x:c r="D27" s="31"/>
      <x:c r="E27" s="44"/>
      <x:c r="F27" s="44"/>
      <x:c r="G27" s="44"/>
      <x:c r="H27" t="str">
        <x:v>Interpolated</x:v>
      </x:c>
    </x:row>
    <x:row r="28">
      <x:c r="A28" t="n">
        <x:v>2025</x:v>
      </x:c>
      <x:c r="B28" s="31" t="n">
        <x:f>$C$7*(1+$C$9)^(A28-2015)</x:f>
        <x:v>6.7392999999999965</x:v>
      </x:c>
      <x:c r="C28" s="31" t="n">
        <x:f>$F$7*(1+$F$9)^(A28-2025)</x:f>
        <x:v>6.7393</x:v>
      </x:c>
      <x:c r="D28" s="31" t="n">
        <x:f>$F$7*(1+$C$9)^(A28-2025)</x:f>
        <x:v>6.7393</x:v>
      </x:c>
      <x:c r="E28" s="44" t="n">
        <x:f>100*($F$11/$C$11)^((A28-2025)/10)</x:f>
        <x:v>100</x:v>
      </x:c>
      <x:c r="F28" s="44" t="n">
        <x:f>100*(1+$F$9)^(A28-2025)</x:f>
        <x:v>100</x:v>
      </x:c>
      <x:c r="G28" s="44" t="n">
        <x:f>E28/F28*100</x:f>
        <x:v>100</x:v>
      </x:c>
      <x:c r="H28" t="str">
        <x:v>OFFICIAL</x:v>
      </x:c>
    </x:row>
    <x:row r="29">
      <x:c r="A29" t="n">
        <x:v>2026</x:v>
      </x:c>
      <x:c r="B29" s="31"/>
      <x:c r="C29" s="31" t="n">
        <x:f>$F$7*(1+$F$9)^(A29-2025)</x:f>
        <x:v>6.754573292357479</x:v>
      </x:c>
      <x:c r="D29" s="31" t="n">
        <x:f>$F$7*(1+$C$9)^(A29-2025)</x:f>
        <x:v>6.814134472840768</x:v>
      </x:c>
      <x:c r="E29" s="44" t="n">
        <x:f>100*($F$11/$C$11)^((A29-2025)/10)</x:f>
        <x:v>101.77017838948419</x:v>
      </x:c>
      <x:c r="F29" s="44" t="n">
        <x:f>100*(1+$F$9)^(A29-2025)</x:f>
        <x:v>100.2266302488015</x:v>
      </x:c>
      <x:c r="G29" s="44" t="n">
        <x:f>E29/F29*100</x:f>
        <x:v>101.54005790362402</x:v>
      </x:c>
      <x:c r="H29" t="str">
        <x:v>Interpolated</x:v>
      </x:c>
    </x:row>
    <x:row r="30">
      <x:c r="A30" t="n">
        <x:v>2027</x:v>
      </x:c>
      <x:c r="B30" s="31"/>
      <x:c r="C30" s="31" t="n">
        <x:f>$F$7*(1+$F$9)^(A30-2025)</x:f>
        <x:v>6.769881198615429</x:v>
      </x:c>
      <x:c r="D30" s="31" t="n">
        <x:f>$F$7*(1+$C$9)^(A30-2025)</x:f>
        <x:v>6.889799921943959</x:v>
      </x:c>
      <x:c r="E30" s="44" t="n">
        <x:f>100*($F$11/$C$11)^((A30-2025)/10)</x:f>
        <x:v>103.57169209427437</x:v>
      </x:c>
      <x:c r="F30" s="44" t="n">
        <x:f>100*(1+$F$9)^(A30-2025)</x:f>
        <x:v>100.45377411029972</x:v>
      </x:c>
      <x:c r="G30" s="44" t="n">
        <x:f>E30/F30*100</x:f>
        <x:v>103.10383359071321</x:v>
      </x:c>
      <x:c r="H30" t="str">
        <x:v>Interpolated</x:v>
      </x:c>
    </x:row>
    <x:row r="31">
      <x:c r="A31" t="n">
        <x:v>2028</x:v>
      </x:c>
      <x:c r="B31" s="31"/>
      <x:c r="C31" s="31" t="n">
        <x:f>$F$7*(1+$F$9)^(A31-2025)</x:f>
        <x:v>6.785223797219417</x:v>
      </x:c>
      <x:c r="D31" s="31" t="n">
        <x:f>$F$7*(1+$C$9)^(A31-2025)</x:f>
        <x:v>6.966305574628516</x:v>
      </x:c>
      <x:c r="E31" s="44" t="n">
        <x:f>100*($F$11/$C$11)^((A31-2025)/10)</x:f>
        <x:v>105.40509580535033</x:v>
      </x:c>
      <x:c r="F31" s="44" t="n">
        <x:f>100*(1+$F$9)^(A31-2025)</x:f>
        <x:v>100.68143274849639</x:v>
      </x:c>
      <x:c r="G31" s="44" t="n">
        <x:f>E31/F31*100</x:f>
        <x:v>104.69169232886635</x:v>
      </x:c>
      <x:c r="H31" t="str">
        <x:v>Interpolated</x:v>
      </x:c>
    </x:row>
    <x:row r="32">
      <x:c r="A32" t="n">
        <x:v>2029</x:v>
      </x:c>
      <x:c r="B32" s="31"/>
      <x:c r="C32" s="31" t="n">
        <x:f>$F$7*(1+$F$9)^(A32-2025)</x:f>
        <x:v>6.800601166792794</x:v>
      </x:c>
      <x:c r="D32" s="31" t="n">
        <x:f>$F$7*(1+$C$9)^(A32-2025)</x:f>
        <x:v>7.043660760675291</x:v>
      </x:c>
      <x:c r="E32" s="44" t="n">
        <x:f>100*($F$11/$C$11)^((A32-2025)/10)</x:f>
        <x:v>107.27095403271176</x:v>
      </x:c>
      <x:c r="F32" s="44" t="n">
        <x:f>100*(1+$F$9)^(A32-2025)</x:f>
        <x:v>100.90960733003122</x:v>
      </x:c>
      <x:c r="G32" s="44" t="n">
        <x:f>E32/F32*100</x:f>
        <x:v>106.3040050110148</x:v>
      </x:c>
      <x:c r="H32" t="str">
        <x:v>Interpolated</x:v>
      </x:c>
    </x:row>
    <x:row r="33">
      <x:c r="A33" t="n">
        <x:v>2030</x:v>
      </x:c>
      <x:c r="B33" s="31"/>
      <x:c r="C33" s="31" t="n">
        <x:f>$F$7*(1+$F$9)^(A33-2025)</x:f>
        <x:v>6.816013386137095</x:v>
      </x:c>
      <x:c r="D33" s="31" t="n">
        <x:f>$F$7*(1+$C$9)^(A33-2025)</x:f>
        <x:v>7.121874913464798</x:v>
      </x:c>
      <x:c r="E33" s="44" t="n">
        <x:f>100*($F$11/$C$11)^((A33-2025)/10)</x:f>
        <x:v>109.16984127919235</x:v>
      </x:c>
      <x:c r="F33" s="44" t="n">
        <x:f>100*(1+$F$9)^(A33-2025)</x:f>
        <x:v>101.13829902418789</x:v>
      </x:c>
      <x:c r="G33" s="44" t="n">
        <x:f>E33/F33*100</x:f>
        <x:v>107.94114824205583</x:v>
      </x:c>
      <x:c r="H33" t="str">
        <x:v>Interpolated</x:v>
      </x:c>
    </x:row>
    <x:row r="34">
      <x:c r="A34" t="n">
        <x:v>2031</x:v>
      </x:c>
      <x:c r="B34" s="31"/>
      <x:c r="C34" s="31" t="n">
        <x:f>$F$7*(1+$F$9)^(A34-2025)</x:f>
        <x:v>6.83146053423244</x:v>
      </x:c>
      <x:c r="D34" s="31" t="n">
        <x:f>$F$7*(1+$C$9)^(A34-2025)</x:f>
        <x:v>7.200957571127616</x:v>
      </x:c>
      <x:c r="E34" s="44" t="n">
        <x:f>100*($F$11/$C$11)^((A34-2025)/10)</x:f>
        <x:v>111.10234221735082</x:v>
      </x:c>
      <x:c r="F34" s="44" t="n">
        <x:f>100*(1+$F$9)^(A34-2025)</x:f>
        <x:v>101.36750900290001</x:v>
      </x:c>
      <x:c r="G34" s="44" t="n">
        <x:f>E34/F34*100</x:f>
        <x:v>109.60350442682014</x:v>
      </x:c>
      <x:c r="H34" t="str">
        <x:v>Interpolated</x:v>
      </x:c>
    </x:row>
    <x:row r="35">
      <x:c r="A35" t="n">
        <x:v>2032</x:v>
      </x:c>
      <x:c r="B35" s="31"/>
      <x:c r="C35" s="31" t="n">
        <x:f>$F$7*(1+$F$9)^(A35-2025)</x:f>
        <x:v>6.846942690237948</x:v>
      </x:c>
      <x:c r="D35" s="31" t="n">
        <x:f>$F$7*(1+$C$9)^(A35-2025)</x:f>
        <x:v>7.280918377707538</x:v>
      </x:c>
      <x:c r="E35" s="44" t="n">
        <x:f>100*($F$11/$C$11)^((A35-2025)/10)</x:f>
        <x:v>113.06905186949314</x:v>
      </x:c>
      <x:c r="F35" s="44" t="n">
        <x:f>100*(1+$F$9)^(A35-2025)</x:f>
        <x:v>101.59723844075717</x:v>
      </x:c>
      <x:c r="G35" s="44" t="n">
        <x:f>E35/F35*100</x:f>
        <x:v>111.29146185939429</x:v>
      </x:c>
      <x:c r="H35" t="str">
        <x:v>Interpolated</x:v>
      </x:c>
    </x:row>
    <x:row r="36">
      <x:c r="A36" t="n">
        <x:v>2033</x:v>
      </x:c>
      <x:c r="B36" s="31"/>
      <x:c r="C36" s="31" t="n">
        <x:f>$F$7*(1+$F$9)^(A36-2025)</x:f>
        <x:v>6.86245993349213</x:v>
      </x:c>
      <x:c r="D36" s="31" t="n">
        <x:f>$F$7*(1+$C$9)^(A36-2025)</x:f>
        <x:v>7.361767084337663</x:v>
      </x:c>
      <x:c r="E36" s="44" t="n">
        <x:f>100*($F$11/$C$11)^((A36-2025)/10)</x:f>
        <x:v>115.07057579088158</x:v>
      </x:c>
      <x:c r="F36" s="44" t="n">
        <x:f>100*(1+$F$9)^(A36-2025)</x:f>
        <x:v>101.82748851501091</x:v>
      </x:c>
      <x:c r="G36" s="44" t="n">
        <x:f>E36/F36*100</x:f>
        <x:v>113.0054148138186</x:v>
      </x:c>
      <x:c r="H36" t="str">
        <x:v>Interpolated</x:v>
      </x:c>
    </x:row>
    <x:row r="37">
      <x:c r="A37" t="n">
        <x:v>2034</x:v>
      </x:c>
      <x:c r="B37" s="31"/>
      <x:c r="C37" s="31" t="n">
        <x:f>$F$7*(1+$F$9)^(A37-2025)</x:f>
        <x:v>6.878012343513307</x:v>
      </x:c>
      <x:c r="D37" s="31" t="n">
        <x:f>$F$7*(1+$C$9)^(A37-2025)</x:f>
        <x:v>7.44351355042953</x:v>
      </x:c>
      <x:c r="E37" s="44" t="n">
        <x:f>100*($F$11/$C$11)^((A37-2025)/10)</x:f>
        <x:v>117.1075302561868</x:v>
      </x:c>
      <x:c r="F37" s="44" t="n">
        <x:f>100*(1+$F$9)^(A37-2025)</x:f>
        <x:v>102.0582604055808</x:v>
      </x:c>
      <x:c r="G37" s="44" t="n">
        <x:f>E37/F37*100</x:f>
        <x:v>114.74576363618195</x:v>
      </x:c>
      <x:c r="H37" t="str">
        <x:v>Interpolated</x:v>
      </x:c>
    </x:row>
    <x:row r="38">
      <x:c r="A38" t="n">
        <x:v>2035</x:v>
      </x:c>
      <x:c r="B38" s="31"/>
      <x:c r="C38" s="31" t="n">
        <x:f>$F$7*(1+$F$9)^(A38-2025)</x:f>
        <x:v>6.893600000000009</x:v>
      </x:c>
      <x:c r="D38" s="31" t="n">
        <x:f>$F$7*(1+$C$9)^(A38-2025)</x:f>
        <x:v>7.526167744875466</x:v>
      </x:c>
      <x:c r="E38" s="44" t="n">
        <x:f>100*($F$11/$C$11)^((A38-2025)/10)</x:f>
        <x:v>119.1805424492405</x:v>
      </x:c>
      <x:c r="F38" s="44" t="n">
        <x:f>100*(1+$F$9)^(A38-2025)</x:f>
        <x:v>102.28955529506045</x:v>
      </x:c>
      <x:c r="G38" s="44" t="n">
        <x:f>E38/F38*100</x:f>
        <x:v>116.5129148381347</x:v>
      </x:c>
      <x:c r="H38" t="str">
        <x:v>OFFICIAL</x:v>
      </x:c>
    </x:row>
    <x:row r="41" ht="25" customHeight="1">
      <x:c r="A41" s="6" t="str">
        <x:v>SECTOR CROSS-CHECK  |  Which industries show output growth outrunning jobs?</x:v>
      </x:c>
      <x:c r="B41" s="6"/>
      <x:c r="C41" s="6"/>
      <x:c r="D41" s="6"/>
      <x:c r="E41" s="6"/>
      <x:c r="F41" s="6"/>
      <x:c r="G41" s="6"/>
      <x:c r="H41" s="6"/>
    </x:row>
    <x:row r="43" ht="40" customHeight="1">
      <x:c r="A43" s="8" t="str">
        <x:v>NAICS</x:v>
      </x:c>
      <x:c r="B43" s="8" t="str">
        <x:v>Industry</x:v>
      </x:c>
      <x:c r="C43" s="8" t="str">
        <x:v>Historic jobs CAGR</x:v>
      </x:c>
      <x:c r="D43" s="8" t="str">
        <x:v>Future jobs CAGR</x:v>
      </x:c>
      <x:c r="E43" s="8" t="str">
        <x:v>Slowdown (pp)</x:v>
      </x:c>
      <x:c r="F43" s="8" t="str">
        <x:v>Future output CAGR</x:v>
      </x:c>
      <x:c r="G43" s="8" t="str">
        <x:v>Output/job CAGR</x:v>
      </x:c>
      <x:c r="H43" s="8" t="str">
        <x:v>Future jobs change (000s)</x:v>
      </x:c>
    </x:row>
    <x:row r="44">
      <x:c r="A44" t="str">
        <x:f>'BLS Data'!A5</x:f>
        <x:v>11</x:v>
      </x:c>
      <x:c r="B44" t="str">
        <x:f>'BLS Data'!B5</x:f>
        <x:v>Agriculture, forestry, fishing, hunting</x:v>
      </x:c>
      <x:c r="C44" s="34" t="n">
        <x:f>'BLS Data'!I5</x:f>
        <x:v>-0.0011280894292757804</x:v>
      </x:c>
      <x:c r="D44" s="34" t="n">
        <x:f>'BLS Data'!J5</x:f>
        <x:v>0.0014740459595048439</x:v>
      </x:c>
      <x:c r="E44" s="46" t="n">
        <x:f>'BLS Data'!N5</x:f>
        <x:v>0.2602135388780624</x:v>
      </x:c>
      <x:c r="F44" s="34" t="n">
        <x:f>'BLS Data'!K5</x:f>
        <x:v>0.0122458804825325</x:v>
      </x:c>
      <x:c r="G44" s="34" t="n">
        <x:f>'BLS Data'!L5</x:f>
        <x:v>0.010755979714588637</x:v>
      </x:c>
      <x:c r="H44" s="31" t="n">
        <x:f>'BLS Data'!E5-'BLS Data'!D5</x:f>
        <x:v>21.699999999999818</x:v>
      </x:c>
    </x:row>
    <x:row r="45">
      <x:c r="A45" t="str">
        <x:f>'BLS Data'!A6</x:f>
        <x:v>21</x:v>
      </x:c>
      <x:c r="B45" t="str">
        <x:f>'BLS Data'!B6</x:f>
        <x:v>Mining, quarrying, oil and gas</x:v>
      </x:c>
      <x:c r="C45" s="34" t="n">
        <x:f>'BLS Data'!I6</x:f>
        <x:v>-0.027788943716869796</x:v>
      </x:c>
      <x:c r="D45" s="34" t="n">
        <x:f>'BLS Data'!J6</x:f>
        <x:v>0.000660630670128004</x:v>
      </x:c>
      <x:c r="E45" s="46" t="n">
        <x:f>'BLS Data'!N6</x:f>
        <x:v>2.84495743869978</x:v>
      </x:c>
      <x:c r="F45" s="34" t="n">
        <x:f>'BLS Data'!K6</x:f>
        <x:v>0.017236866403596673</x:v>
      </x:c>
      <x:c r="G45" s="34" t="n">
        <x:f>'BLS Data'!L6</x:f>
        <x:v>0.016565292193386094</x:v>
      </x:c>
      <x:c r="H45" s="31" t="n">
        <x:f>'BLS Data'!E6-'BLS Data'!D6</x:f>
        <x:v>3.7999999999999545</x:v>
      </x:c>
    </x:row>
    <x:row r="46">
      <x:c r="A46" t="str">
        <x:f>'BLS Data'!A7</x:f>
        <x:v>22</x:v>
      </x:c>
      <x:c r="B46" t="str">
        <x:f>'BLS Data'!B7</x:f>
        <x:v>Utilities</x:v>
      </x:c>
      <x:c r="C46" s="34" t="n">
        <x:f>'BLS Data'!I7</x:f>
        <x:v>0.007863323187143889</x:v>
      </x:c>
      <x:c r="D46" s="34" t="n">
        <x:f>'BLS Data'!J7</x:f>
        <x:v>0.009373393718276946</x:v>
      </x:c>
      <x:c r="E46" s="46" t="n">
        <x:f>'BLS Data'!N7</x:f>
        <x:v>0.15100705311330564</x:v>
      </x:c>
      <x:c r="F46" s="34" t="n">
        <x:f>'BLS Data'!K7</x:f>
        <x:v>0.024833754042849154</x:v>
      </x:c>
      <x:c r="G46" s="34" t="n">
        <x:f>'BLS Data'!L7</x:f>
        <x:v>0.015316790021203452</x:v>
      </x:c>
      <x:c r="H46" s="31" t="n">
        <x:f>'BLS Data'!E7-'BLS Data'!D7</x:f>
        <x:v>58.80000000000007</x:v>
      </x:c>
    </x:row>
    <x:row r="47">
      <x:c r="A47" t="str">
        <x:f>'BLS Data'!A8</x:f>
        <x:v>23</x:v>
      </x:c>
      <x:c r="B47" t="str">
        <x:f>'BLS Data'!B8</x:f>
        <x:v>Construction</x:v>
      </x:c>
      <x:c r="C47" s="34" t="n">
        <x:f>'BLS Data'!I8</x:f>
        <x:v>0.024944985448943635</x:v>
      </x:c>
      <x:c r="D47" s="34" t="n">
        <x:f>'BLS Data'!J8</x:f>
        <x:v>0.004860428535698125</x:v>
      </x:c>
      <x:c r="E47" s="46" t="n">
        <x:f>'BLS Data'!N8</x:f>
        <x:v>-2.008455691324551</x:v>
      </x:c>
      <x:c r="F47" s="34" t="n">
        <x:f>'BLS Data'!K8</x:f>
        <x:v>0.011747572553489904</x:v>
      </x:c>
      <x:c r="G47" s="34" t="n">
        <x:f>'BLS Data'!L8</x:f>
        <x:v>0.0068538314597859085</x:v>
      </x:c>
      <x:c r="H47" s="31" t="n">
        <x:f>'BLS Data'!E8-'BLS Data'!D8</x:f>
        <x:v>410.6999999999989</x:v>
      </x:c>
    </x:row>
    <x:row r="48">
      <x:c r="A48" t="str">
        <x:f>'BLS Data'!A9</x:f>
        <x:v>31-33</x:v>
      </x:c>
      <x:c r="B48" t="str">
        <x:f>'BLS Data'!B9</x:f>
        <x:v>Manufacturing</x:v>
      </x:c>
      <x:c r="C48" s="34" t="n">
        <x:f>'BLS Data'!I9</x:f>
        <x:v>0.002600591049161327</x:v>
      </x:c>
      <x:c r="D48" s="34" t="n">
        <x:f>'BLS Data'!J9</x:f>
        <x:v>0.0005692354910324937</x:v>
      </x:c>
      <x:c r="E48" s="46" t="n">
        <x:f>'BLS Data'!N9</x:f>
        <x:v>-0.20313555581288334</x:v>
      </x:c>
      <x:c r="F48" s="34" t="n">
        <x:f>'BLS Data'!K9</x:f>
        <x:v>0.015181092946695118</x:v>
      </x:c>
      <x:c r="G48" s="34" t="n">
        <x:f>'BLS Data'!L9</x:f>
        <x:v>0.014603544599781637</x:v>
      </x:c>
      <x:c r="H48" s="31" t="n">
        <x:f>'BLS Data'!E9-'BLS Data'!D9</x:f>
        <x:v>72.09999999999854</x:v>
      </x:c>
    </x:row>
    <x:row r="49">
      <x:c r="A49" t="str">
        <x:f>'BLS Data'!A10</x:f>
        <x:v>42</x:v>
      </x:c>
      <x:c r="B49" t="str">
        <x:f>'BLS Data'!B10</x:f>
        <x:v>Wholesale trade</x:v>
      </x:c>
      <x:c r="C49" s="34" t="n">
        <x:f>'BLS Data'!I10</x:f>
        <x:v>0.004721361248952283</x:v>
      </x:c>
      <x:c r="D49" s="34" t="n">
        <x:f>'BLS Data'!J10</x:f>
        <x:v>0.0020472138662182005</x:v>
      </x:c>
      <x:c r="E49" s="46" t="n">
        <x:f>'BLS Data'!N10</x:f>
        <x:v>-0.2674147382734082</x:v>
      </x:c>
      <x:c r="F49" s="34" t="n">
        <x:f>'BLS Data'!K10</x:f>
        <x:v>0.02407752842849642</x:v>
      </x:c>
      <x:c r="G49" s="34" t="n">
        <x:f>'BLS Data'!L10</x:f>
        <x:v>0.021985305939106636</x:v>
      </x:c>
      <x:c r="H49" s="31" t="n">
        <x:f>'BLS Data'!E10-'BLS Data'!D10</x:f>
        <x:v>125.19999999999982</x:v>
      </x:c>
    </x:row>
    <x:row r="50">
      <x:c r="A50" t="str">
        <x:f>'BLS Data'!A11</x:f>
        <x:v>44-45</x:v>
      </x:c>
      <x:c r="B50" t="str">
        <x:f>'BLS Data'!B11</x:f>
        <x:v>Retail trade</x:v>
      </x:c>
      <x:c r="C50" s="34" t="n">
        <x:f>'BLS Data'!I11</x:f>
        <x:v>-0.0007603669644581368</x:v>
      </x:c>
      <x:c r="D50" s="34" t="n">
        <x:f>'BLS Data'!J11</x:f>
        <x:v>-0.00017824132383659208</x:v>
      </x:c>
      <x:c r="E50" s="46" t="n">
        <x:f>'BLS Data'!N11</x:f>
        <x:v>0.05821256406215447</x:v>
      </x:c>
      <x:c r="F50" s="34" t="n">
        <x:f>'BLS Data'!K11</x:f>
        <x:v>0.02558121419563597</x:v>
      </x:c>
      <x:c r="G50" s="34" t="n">
        <x:f>'BLS Data'!L11</x:f>
        <x:v>0.02576404773744856</x:v>
      </x:c>
      <x:c r="H50" s="31" t="n">
        <x:f>'BLS Data'!E11-'BLS Data'!D11</x:f>
        <x:v>-27.5</x:v>
      </x:c>
    </x:row>
    <x:row r="51">
      <x:c r="A51" t="str">
        <x:f>'BLS Data'!A12</x:f>
        <x:v>48-49</x:v>
      </x:c>
      <x:c r="B51" t="str">
        <x:f>'BLS Data'!B12</x:f>
        <x:v>Transportation and warehousing</x:v>
      </x:c>
      <x:c r="C51" s="34" t="n">
        <x:f>'BLS Data'!I12</x:f>
        <x:v>0.03171923888638539</x:v>
      </x:c>
      <x:c r="D51" s="34" t="n">
        <x:f>'BLS Data'!J12</x:f>
        <x:v>0.0030792040785887487</x:v>
      </x:c>
      <x:c r="E51" s="46" t="n">
        <x:f>'BLS Data'!N12</x:f>
        <x:v>-2.8640034807796644</x:v>
      </x:c>
      <x:c r="F51" s="34" t="n">
        <x:f>'BLS Data'!K12</x:f>
        <x:v>0.022181090343076804</x:v>
      </x:c>
      <x:c r="G51" s="34" t="n">
        <x:f>'BLS Data'!L12</x:f>
        <x:v>0.019043248216908948</x:v>
      </x:c>
      <x:c r="H51" s="31" t="n">
        <x:f>'BLS Data'!E12-'BLS Data'!D12</x:f>
        <x:v>207.30000000000018</x:v>
      </x:c>
    </x:row>
    <x:row r="52">
      <x:c r="A52" t="str">
        <x:f>'BLS Data'!A13</x:f>
        <x:v>51</x:v>
      </x:c>
      <x:c r="B52" t="str">
        <x:f>'BLS Data'!B13</x:f>
        <x:v>Information</x:v>
      </x:c>
      <x:c r="C52" s="34" t="n">
        <x:f>'BLS Data'!I13</x:f>
        <x:v>0.004014703713946188</x:v>
      </x:c>
      <x:c r="D52" s="34" t="n">
        <x:f>'BLS Data'!J13</x:f>
        <x:v>0.005154974410291002</x:v>
      </x:c>
      <x:c r="E52" s="46" t="n">
        <x:f>'BLS Data'!N13</x:f>
        <x:v>0.11402706963448139</x:v>
      </x:c>
      <x:c r="F52" s="34" t="n">
        <x:f>'BLS Data'!K13</x:f>
        <x:v>0.032228293258639296</x:v>
      </x:c>
      <x:c r="G52" s="34" t="n">
        <x:f>'BLS Data'!L13</x:f>
        <x:v>0.026934472332718506</x:v>
      </x:c>
      <x:c r="H52" s="31" t="n">
        <x:f>'BLS Data'!E13-'BLS Data'!D13</x:f>
        <x:v>151</x:v>
      </x:c>
    </x:row>
    <x:row r="53">
      <x:c r="A53" t="str">
        <x:f>'BLS Data'!A14</x:f>
        <x:v>52</x:v>
      </x:c>
      <x:c r="B53" t="str">
        <x:f>'BLS Data'!B14</x:f>
        <x:v>Finance and insurance</x:v>
      </x:c>
      <x:c r="C53" s="34" t="n">
        <x:f>'BLS Data'!I14</x:f>
        <x:v>0.011104190767700972</x:v>
      </x:c>
      <x:c r="D53" s="34" t="n">
        <x:f>'BLS Data'!J14</x:f>
        <x:v>0.0022663024880149596</x:v>
      </x:c>
      <x:c r="E53" s="46" t="n">
        <x:f>'BLS Data'!N14</x:f>
        <x:v>-0.8837888279686013</x:v>
      </x:c>
      <x:c r="F53" s="34" t="n">
        <x:f>'BLS Data'!K14</x:f>
        <x:v>0.017701783894841894</x:v>
      </x:c>
      <x:c r="G53" s="34" t="n">
        <x:f>'BLS Data'!L14</x:f>
        <x:v>0.01540057903624037</x:v>
      </x:c>
      <x:c r="H53" s="31" t="n">
        <x:f>'BLS Data'!E14-'BLS Data'!D14</x:f>
        <x:v>154.30000000000018</x:v>
      </x:c>
    </x:row>
    <x:row r="54">
      <x:c r="A54" t="str">
        <x:f>'BLS Data'!A15</x:f>
        <x:v>53</x:v>
      </x:c>
      <x:c r="B54" t="str">
        <x:f>'BLS Data'!B15</x:f>
        <x:v>Real estate, rental and leasing</x:v>
      </x:c>
      <x:c r="C54" s="34" t="n">
        <x:f>'BLS Data'!I15</x:f>
        <x:v>0.016369829261076108</x:v>
      </x:c>
      <x:c r="D54" s="34" t="n">
        <x:f>'BLS Data'!J15</x:f>
        <x:v>0.003328224064965468</x:v>
      </x:c>
      <x:c r="E54" s="46" t="n">
        <x:f>'BLS Data'!N15</x:f>
        <x:v>-1.304160519611064</x:v>
      </x:c>
      <x:c r="F54" s="34" t="n">
        <x:f>'BLS Data'!K15</x:f>
        <x:v>0.019958355911048553</x:v>
      </x:c>
      <x:c r="G54" s="34" t="n">
        <x:f>'BLS Data'!L15</x:f>
        <x:v>0.016574966643224887</x:v>
      </x:c>
      <x:c r="H54" s="31" t="n">
        <x:f>'BLS Data'!E15-'BLS Data'!D15</x:f>
        <x:v>83</x:v>
      </x:c>
    </x:row>
    <x:row r="55">
      <x:c r="A55" t="str">
        <x:f>'BLS Data'!A16</x:f>
        <x:v>54</x:v>
      </x:c>
      <x:c r="B55" t="str">
        <x:f>'BLS Data'!B16</x:f>
        <x:v>Professional, scientific, technical services</x:v>
      </x:c>
      <x:c r="C55" s="34" t="n">
        <x:f>'BLS Data'!I16</x:f>
        <x:v>0.022150601304104622</x:v>
      </x:c>
      <x:c r="D55" s="34" t="n">
        <x:f>'BLS Data'!J16</x:f>
        <x:v>0.008281567719535143</x:v>
      </x:c>
      <x:c r="E55" s="46" t="n">
        <x:f>'BLS Data'!N16</x:f>
        <x:v>-1.386903358456948</x:v>
      </x:c>
      <x:c r="F55" s="34" t="n">
        <x:f>'BLS Data'!K16</x:f>
        <x:v>0.025002653526585483</x:v>
      </x:c>
      <x:c r="G55" s="34" t="n">
        <x:f>'BLS Data'!L16</x:f>
        <x:v>0.016583746388292298</x:v>
      </x:c>
      <x:c r="H55" s="31" t="n">
        <x:f>'BLS Data'!E16-'BLS Data'!D16</x:f>
        <x:v>926.6999999999989</x:v>
      </x:c>
    </x:row>
    <x:row r="56">
      <x:c r="A56" t="str">
        <x:f>'BLS Data'!A17</x:f>
        <x:v>55</x:v>
      </x:c>
      <x:c r="B56" t="str">
        <x:f>'BLS Data'!B17</x:f>
        <x:v>Management of companies</x:v>
      </x:c>
      <x:c r="C56" s="34" t="n">
        <x:f>'BLS Data'!I17</x:f>
        <x:v>0.013581298272459463</x:v>
      </x:c>
      <x:c r="D56" s="34" t="n">
        <x:f>'BLS Data'!J17</x:f>
        <x:v>0.003994214028679499</x:v>
      </x:c>
      <x:c r="E56" s="46" t="n">
        <x:f>'BLS Data'!N17</x:f>
        <x:v>-0.9587084243779964</x:v>
      </x:c>
      <x:c r="F56" s="34" t="n">
        <x:f>'BLS Data'!K17</x:f>
        <x:v>0.0252420336957484</x:v>
      </x:c>
      <x:c r="G56" s="34" t="n">
        <x:f>'BLS Data'!L17</x:f>
        <x:v>0.02116328896140618</x:v>
      </x:c>
      <x:c r="H56" s="31" t="n">
        <x:f>'BLS Data'!E17-'BLS Data'!D17</x:f>
        <x:v>106.70000000000027</x:v>
      </x:c>
    </x:row>
    <x:row r="57">
      <x:c r="A57" t="str">
        <x:f>'BLS Data'!A18</x:f>
        <x:v>56</x:v>
      </x:c>
      <x:c r="B57" t="str">
        <x:f>'BLS Data'!B18</x:f>
        <x:v>Administrative support, waste management</x:v>
      </x:c>
      <x:c r="C57" s="34" t="n">
        <x:f>'BLS Data'!I18</x:f>
        <x:v>0.0021317147388126845</x:v>
      </x:c>
      <x:c r="D57" s="34" t="n">
        <x:f>'BLS Data'!J18</x:f>
        <x:v>0.000888474258359917</x:v>
      </x:c>
      <x:c r="E57" s="46" t="n">
        <x:f>'BLS Data'!N18</x:f>
        <x:v>-0.12432404804527675</x:v>
      </x:c>
      <x:c r="F57" s="34" t="n">
        <x:f>'BLS Data'!K18</x:f>
        <x:v>0.019313154646193764</x:v>
      </x:c>
      <x:c r="G57" s="34" t="n">
        <x:f>'BLS Data'!L18</x:f>
        <x:v>0.01840832506487433</x:v>
      </x:c>
      <x:c r="H57" s="31" t="n">
        <x:f>'BLS Data'!E18-'BLS Data'!D18</x:f>
        <x:v>80.39999999999964</x:v>
      </x:c>
    </x:row>
    <x:row r="58">
      <x:c r="A58" t="str">
        <x:f>'BLS Data'!A19</x:f>
        <x:v>61</x:v>
      </x:c>
      <x:c r="B58" t="str">
        <x:f>'BLS Data'!B19</x:f>
        <x:v>Educational services (private)</x:v>
      </x:c>
      <x:c r="C58" s="34" t="n">
        <x:f>'BLS Data'!I19</x:f>
        <x:v>0.015490609308181913</x:v>
      </x:c>
      <x:c r="D58" s="34" t="n">
        <x:f>'BLS Data'!J19</x:f>
        <x:v>0.002493567509114447</x:v>
      </x:c>
      <x:c r="E58" s="46" t="n">
        <x:f>'BLS Data'!N19</x:f>
        <x:v>-1.2997041799067466</x:v>
      </x:c>
      <x:c r="F58" s="34" t="n">
        <x:f>'BLS Data'!K19</x:f>
        <x:v>0.01540441501975054</x:v>
      </x:c>
      <x:c r="G58" s="34" t="n">
        <x:f>'BLS Data'!L19</x:f>
        <x:v>0.012878733519174235</x:v>
      </x:c>
      <x:c r="H58" s="31" t="n">
        <x:f>'BLS Data'!E19-'BLS Data'!D19</x:f>
        <x:v>102.09999999999945</x:v>
      </x:c>
    </x:row>
    <x:row r="59">
      <x:c r="A59" t="str">
        <x:f>'BLS Data'!A20</x:f>
        <x:v>62</x:v>
      </x:c>
      <x:c r="B59" t="str">
        <x:f>'BLS Data'!B20</x:f>
        <x:v>Healthcare and social assistance (private)</x:v>
      </x:c>
      <x:c r="C59" s="34" t="n">
        <x:f>'BLS Data'!I20</x:f>
        <x:v>0.022976059171101237</x:v>
      </x:c>
      <x:c r="D59" s="34" t="n">
        <x:f>'BLS Data'!J20</x:f>
        <x:v>0.009086072600963169</x:v>
      </x:c>
      <x:c r="E59" s="46" t="n">
        <x:f>'BLS Data'!N20</x:f>
        <x:v>-1.3889986570138069</x:v>
      </x:c>
      <x:c r="F59" s="34" t="n">
        <x:f>'BLS Data'!K20</x:f>
        <x:v>0.03057669748814318</x:v>
      </x:c>
      <x:c r="G59" s="34" t="n">
        <x:f>'BLS Data'!L20</x:f>
        <x:v>0.02129711772930043</x:v>
      </x:c>
      <x:c r="H59" s="31" t="n">
        <x:f>'BLS Data'!E20-'BLS Data'!D20</x:f>
        <x:v>2204.7999999999993</x:v>
      </x:c>
    </x:row>
    <x:row r="60">
      <x:c r="A60" t="str">
        <x:f>'BLS Data'!A21</x:f>
        <x:v>71</x:v>
      </x:c>
      <x:c r="B60" t="str">
        <x:f>'BLS Data'!B21</x:f>
        <x:v>Arts, entertainment and recreation</x:v>
      </x:c>
      <x:c r="C60" s="34" t="n">
        <x:f>'BLS Data'!I21</x:f>
        <x:v>0.021553558270425377</x:v>
      </x:c>
      <x:c r="D60" s="34" t="n">
        <x:f>'BLS Data'!J21</x:f>
        <x:v>0.005567487791719561</x:v>
      </x:c>
      <x:c r="E60" s="46" t="n">
        <x:f>'BLS Data'!N21</x:f>
        <x:v>-1.5986070478705816</x:v>
      </x:c>
      <x:c r="F60" s="34" t="n">
        <x:f>'BLS Data'!K21</x:f>
        <x:v>0.022808758658439565</x:v>
      </x:c>
      <x:c r="G60" s="34" t="n">
        <x:f>'BLS Data'!L21</x:f>
        <x:v>0.017145811769017083</x:v>
      </x:c>
      <x:c r="H60" s="31" t="n">
        <x:f>'BLS Data'!E21-'BLS Data'!D21</x:f>
        <x:v>153.10000000000036</x:v>
      </x:c>
    </x:row>
    <x:row r="61">
      <x:c r="A61" t="str">
        <x:f>'BLS Data'!A22</x:f>
        <x:v>72</x:v>
      </x:c>
      <x:c r="B61" t="str">
        <x:f>'BLS Data'!B22</x:f>
        <x:v>Accommodation and food services</x:v>
      </x:c>
      <x:c r="C61" s="34" t="n">
        <x:f>'BLS Data'!I22</x:f>
        <x:v>0.008929848164531018</x:v>
      </x:c>
      <x:c r="D61" s="34" t="n">
        <x:f>'BLS Data'!J22</x:f>
        <x:v>0.004196684092476977</x:v>
      </x:c>
      <x:c r="E61" s="46" t="n">
        <x:f>'BLS Data'!N22</x:f>
        <x:v>-0.47331640720540413</x:v>
      </x:c>
      <x:c r="F61" s="34" t="n">
        <x:f>'BLS Data'!K22</x:f>
        <x:v>0.02318587459589594</x:v>
      </x:c>
      <x:c r="G61" s="34" t="n">
        <x:f>'BLS Data'!L22</x:f>
        <x:v>0.018909831912639508</x:v>
      </x:c>
      <x:c r="H61" s="31" t="n">
        <x:f>'BLS Data'!E22-'BLS Data'!D22</x:f>
        <x:v>607.3999999999996</x:v>
      </x:c>
    </x:row>
    <x:row r="62">
      <x:c r="A62" t="str">
        <x:f>'BLS Data'!A23</x:f>
        <x:v>81</x:v>
      </x:c>
      <x:c r="B62" t="str">
        <x:f>'BLS Data'!B23</x:f>
        <x:v>Other services</x:v>
      </x:c>
      <x:c r="C62" s="34" t="n">
        <x:f>'BLS Data'!I23</x:f>
        <x:v>0.002389797524399828</x:v>
      </x:c>
      <x:c r="D62" s="34" t="n">
        <x:f>'BLS Data'!J23</x:f>
        <x:v>0.003692760962822783</x:v>
      </x:c>
      <x:c r="E62" s="46" t="n">
        <x:f>'BLS Data'!N23</x:f>
        <x:v>0.1302963438422955</x:v>
      </x:c>
      <x:c r="F62" s="34" t="n">
        <x:f>'BLS Data'!K23</x:f>
        <x:v>0.01908051986323467</x:v>
      </x:c>
      <x:c r="G62" s="34" t="n">
        <x:f>'BLS Data'!L23</x:f>
        <x:v>0.01533114464794072</x:v>
      </x:c>
      <x:c r="H62" s="31" t="n">
        <x:f>'BLS Data'!E23-'BLS Data'!D23</x:f>
        <x:v>246.90000000000055</x:v>
      </x:c>
    </x:row>
    <x:row r="65">
      <x:c r="A65" t="str">
        <x:v>Interpretation: Output / job is a gross-output-per-position proxy. BLS does not estimate an AI-only employment counterfactual.</x:v>
      </x:c>
    </x:row>
  </x:sheetData>
  <x:mergeCells>
    <x:mergeCell ref="A1:Q1"/>
    <x:mergeCell ref="A2:Q2"/>
    <x:mergeCell ref="A4:B4"/>
    <x:mergeCell ref="A15:Q15"/>
    <x:mergeCell ref="A41:H41"/>
    <x:mergeCell ref="A65:H65"/>
  </x:mergeCells>
  <x:conditionalFormatting sqref="E44:E62">
    <x:cfRule type="cellIs" dxfId="0" priority="1" operator="lessThan">
      <x:formula>0</x:formula>
    </x:cfRule>
  </x:conditionalFormatting>
  <x:conditionalFormatting sqref="G44:G62">
    <x:cfRule type="dataBar" priority="2">
      <x:dataBar>
        <x:cfvo type="min"/>
        <x:cfvo type="max"/>
        <x:color rgb="FFB7D5CA"/>
      </x:dataBar>
      <x:extLst>
        <x:ext xmlns:x14="http://schemas.microsoft.com/office/spreadsheetml/2009/9/main" uri="{B025F937-C7B1-47D3-B67F-A62EFF666E3E}">
          <x14:id>{82205429-287F-0032-2BDA-2B45DF3C197A}</x14:id>
        </x:ext>
      </x:extLst>
    </x:cfRule>
  </x:conditionalFormatting>
  <x:dataValidations count="1">
    <x:dataValidation type="list" sqref="C4">
      <x:formula1>'BLS Data'!$A$5:$A$23</x:formula1>
    </x:dataValidation>
  </x:dataValidations>
  <x:pageMargins left="0.7" right="0.7" top="0.75" bottom="0.75" header="0.3" footer="0.3"/>
  <x:drawing xmlns:r="http://schemas.openxmlformats.org/officeDocument/2006/relationships" r:id="Re235f2bbed7742a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82205429-287F-0032-2BDA-2B45DF3C197A}">
            <x14:dataBar gradient="1">
              <x14:cfvo type="min"/>
              <x14:cfvo type="max"/>
              <x14:fillColor rgb="FFB7D5CA"/>
            </x14:dataBar>
          </x14:cfRule>
          <xm:sqref>G44:G62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0" hidden="0" customWidth="1"/>
  </x:cols>
  <x:sheetData>
    <x:row r="1" ht="36" customHeight="1">
      <x:c r="A1" s="3" t="str">
        <x:v>REBUILD GUIDE  |  ONE BLS DOWNLOAD, NO PYTHON</x:v>
      </x:c>
      <x:c r="B1" s="3"/>
      <x:c r="C1" s="3"/>
      <x:c r="D1" s="3"/>
      <x:c r="E1" s="3"/>
      <x:c r="F1" s="3"/>
      <x:c r="G1" s="3"/>
      <x:c r="H1" s="3"/>
    </x:row>
    <x:row r="3" ht="23" customHeight="1">
      <x:c r="A3" s="6" t="str">
        <x:v>STEP 1  |  Download the official BLS 2025–2035 industry projection workbook</x:v>
      </x:c>
      <x:c r="B3" s="6"/>
      <x:c r="C3" s="6"/>
      <x:c r="D3" s="6"/>
      <x:c r="E3" s="6"/>
      <x:c r="F3" s="6"/>
      <x:c r="G3" s="6"/>
      <x:c r="H3" s="6"/>
    </x:row>
    <x:row r="4">
      <x:c r="A4" t="str">
        <x:v>Source page</x:v>
      </x:c>
      <x:c r="B4" t="str">
        <x:v>https://www.bls.gov/emp/data/industry-out-and-emp.htm</x:v>
      </x:c>
    </x:row>
    <x:row r="5">
      <x:c r="A5" t="str">
        <x:v>Direct XLSX</x:v>
      </x:c>
      <x:c r="B5" t="str">
        <x:v>https://www.bls.gov/emp/industry-employment/industry.xlsx</x:v>
      </x:c>
    </x:row>
    <x:row r="6">
      <x:c r="A6" t="str">
        <x:v>On the BLS page, click 'All industry tables in a single file (XLSX)'. No ZIP / Python / API is needed.</x:v>
      </x:c>
    </x:row>
    <x:row r="8" ht="23" customHeight="1">
      <x:c r="A8" s="6" t="str">
        <x:v>STEP 2  |  From Table 2.1, copy 19 sector Employment anchors into BLS Data</x:v>
      </x:c>
      <x:c r="B8" s="6"/>
      <x:c r="C8" s="6"/>
      <x:c r="D8" s="6"/>
      <x:c r="E8" s="6"/>
      <x:c r="F8" s="6"/>
      <x:c r="G8" s="6"/>
      <x:c r="H8" s="6"/>
    </x:row>
    <x:row r="9">
      <x:c r="A9" t="str">
        <x:v>Excel target</x:v>
      </x:c>
      <x:c r="B9" t="str">
        <x:v>'BLS Data' C5:E23</x:v>
      </x:c>
    </x:row>
    <x:row r="10">
      <x:c r="A10" t="str">
        <x:v>Use Employment 2015, Employment 2025, Employment 2035. Units: THOUSANDS, not individual workers.</x:v>
      </x:c>
    </x:row>
    <x:row r="11">
      <x:c r="A11" t="str">
        <x:v>Match by INDUSTRY or NAICS; do not copy totals, government, or sub-industries on top of parent sectors.</x:v>
      </x:c>
    </x:row>
    <x:row r="13" ht="23" customHeight="1">
      <x:c r="A13" s="6" t="str">
        <x:v>STEP 3  |  From Table 2.2, copy 19 sector real Output anchors</x:v>
      </x:c>
      <x:c r="B13" s="6"/>
      <x:c r="C13" s="6"/>
      <x:c r="D13" s="6"/>
      <x:c r="E13" s="6"/>
      <x:c r="F13" s="6"/>
      <x:c r="G13" s="6"/>
      <x:c r="H13" s="6"/>
    </x:row>
    <x:row r="14">
      <x:c r="A14" t="str">
        <x:v>Excel target</x:v>
      </x:c>
      <x:c r="B14" t="str">
        <x:v>'BLS Data' F5:H23</x:v>
      </x:c>
    </x:row>
    <x:row r="15">
      <x:c r="A15" t="str">
        <x:v>Use Output 2015, Output 2025 and Output 2035, in $bn chained 2017 dollars. Gross industry output ≠ GDP / value added.</x:v>
      </x:c>
    </x:row>
    <x:row r="17" ht="23" customHeight="1">
      <x:c r="A17" s="6" t="str">
        <x:v>STEP 4  |  Open Employment Dashboard and select NAICS in C4</x:v>
      </x:c>
      <x:c r="B17" s="6"/>
      <x:c r="C17" s="6"/>
      <x:c r="D17" s="6"/>
      <x:c r="E17" s="6"/>
      <x:c r="F17" s="6"/>
      <x:c r="G17" s="6"/>
      <x:c r="H17" s="6"/>
    </x:row>
    <x:row r="18">
      <x:c r="A18" t="str">
        <x:v>All formulas and charts update automatically. Default sector = NAICS 52 (Finance &amp; Insurance).</x:v>
      </x:c>
    </x:row>
    <x:row r="19">
      <x:c r="A19" t="str">
        <x:v>2016–2024 and 2026–2034 points are CAGR interpolation, NOT actual yearly observations / BLS annual predictions.</x:v>
      </x:c>
    </x:row>
    <x:row r="21" ht="23" customHeight="1">
      <x:c r="A21" s="6" t="str">
        <x:v>HOW THE EXCEL CALCULATES</x:v>
      </x:c>
      <x:c r="B21" s="6"/>
      <x:c r="C21" s="6"/>
      <x:c r="D21" s="6"/>
      <x:c r="E21" s="6"/>
      <x:c r="F21" s="6"/>
      <x:c r="G21" s="6"/>
      <x:c r="H21" s="6"/>
    </x:row>
    <x:row r="22">
      <x:c r="A22" t="str">
        <x:v>Historical jobs CAGR = (Employment 2025 / Employment 2015)^(1/10)-1</x:v>
      </x:c>
    </x:row>
    <x:row r="23">
      <x:c r="A23" t="str">
        <x:v>Forward jobs CAGR = (Employment 2035 / Employment 2025)^(1/10)-1</x:v>
      </x:c>
    </x:row>
    <x:row r="24">
      <x:c r="A24" t="str">
        <x:v>2035 continuation counterfactual = Employment 2025 × (1 + historical jobs CAGR)^10</x:v>
      </x:c>
    </x:row>
    <x:row r="25">
      <x:c r="A25" t="str">
        <x:v>Real output / job growth = (Output 2035 / Output 2025) / (Jobs 2035 / Jobs 2025) - 1</x:v>
      </x:c>
    </x:row>
    <x:row r="27" ht="23" customHeight="1">
      <x:c r="A27" s="6" t="str">
        <x:v>INTERPRETATION: WHAT YOU CAN AND CANNOT SAY</x:v>
      </x:c>
      <x:c r="B27" s="6"/>
      <x:c r="C27" s="6"/>
      <x:c r="D27" s="6"/>
      <x:c r="E27" s="6"/>
      <x:c r="F27" s="6"/>
      <x:c r="G27" s="6"/>
      <x:c r="H27" s="6"/>
    </x:row>
    <x:row r="28">
      <x:c r="A28" t="str">
        <x:v>You CAN say: BLS projects slower employment growth alongside growing real industry output in some sectors.</x:v>
      </x:c>
    </x:row>
    <x:row r="29">
      <x:c r="A29" t="str">
        <x:v>You CANNOT say: the entire implied employment shortfall is caused by AI; BLS accounts for many demographic and sector factors.</x:v>
      </x:c>
    </x:row>
    <x:row r="30">
      <x:c r="A30" t="str">
        <x:v>Output / job is a rough labor-productivity proxy (industry gross output / employment), not BLS hours-based labor productivity.</x:v>
      </x:c>
    </x:row>
    <x:row r="32" ht="23" customHeight="1">
      <x:c r="A32" s="6" t="str">
        <x:v>OPTIONAL  |  Want a true annual historical line instead of interpolation?</x:v>
      </x:c>
      <x:c r="B32" s="6"/>
      <x:c r="C32" s="6"/>
      <x:c r="D32" s="6"/>
      <x:c r="E32" s="6"/>
      <x:c r="F32" s="6"/>
      <x:c r="G32" s="6"/>
      <x:c r="H32" s="6"/>
    </x:row>
    <x:row r="33">
      <x:c r="A33" t="str">
        <x:v>BLS historical ZIP</x:v>
      </x:c>
      <x:c r="B33" t="str">
        <x:v>https://www.bls.gov/emp/data/industry-out-and-emp.htm</x:v>
      </x:c>
    </x:row>
    <x:row r="34">
      <x:c r="A34" t="str">
        <x:v>Under 'Data for Researchers', the industry ZIP has yearly historical employment. It needs extra code mapping; skip for the easy one-file version.</x:v>
      </x:c>
    </x:row>
    <x:row r="36">
      <x:c r="A36" t="str">
        <x:v>Research notes</x:v>
      </x:c>
      <x:c r="B36" t="str">
        <x:v>https://www.bls.gov/emp/publications/ai-exposure-categories.htm</x:v>
      </x:c>
    </x:row>
    <x:row r="37">
      <x:c r="A37" t="str">
        <x:v>BLS AI exposure is not a worker replacement probability. Industry projections reflect many forces, not just AI.</x:v>
      </x:c>
    </x:row>
  </x:sheetData>
  <x:mergeCells>
    <x:mergeCell ref="A1:H1"/>
    <x:mergeCell ref="A3:H3"/>
    <x:mergeCell ref="A6:H6"/>
    <x:mergeCell ref="A8:H8"/>
    <x:mergeCell ref="A10:H10"/>
    <x:mergeCell ref="A11:H11"/>
    <x:mergeCell ref="A13:H13"/>
    <x:mergeCell ref="A15:H15"/>
    <x:mergeCell ref="A17:H17"/>
    <x:mergeCell ref="A18:H18"/>
    <x:mergeCell ref="A19:H19"/>
    <x:mergeCell ref="A21:H21"/>
    <x:mergeCell ref="A22:H22"/>
    <x:mergeCell ref="A23:H23"/>
    <x:mergeCell ref="A24:H24"/>
    <x:mergeCell ref="A25:H25"/>
    <x:mergeCell ref="A27:H27"/>
    <x:mergeCell ref="A28:H28"/>
    <x:mergeCell ref="A29:H29"/>
    <x:mergeCell ref="A30:H30"/>
    <x:mergeCell ref="A32:H32"/>
    <x:mergeCell ref="A34:H34"/>
    <x:mergeCell ref="A37:H37"/>
  </x:mergeCells>
  <x:pageMargins left="0.7" right="0.7" top="0.75" bottom="0.75" header="0.3" footer="0.3"/>
</x:worksheet>
</file>