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5600"/>
  </bookViews>
  <sheets>
    <sheet name="01 Buckets" sheetId="1" r:id="rId1"/>
    <sheet name="02 Football Fiel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<sst xmlns="http://schemas.openxmlformats.org/spreadsheetml/2006/main" count="516" uniqueCount="393">
  <si>
    <t>AI ROI | MARKET MAP &amp; MONETIZATION BUCKETS — 2030</t>
  </si>
  <si>
    <t>RESEARCH FRAMEWORK  |  Opportunity ≠ monetizable vendor revenue  •  Assumptions in blue  •  Public input values show source  •  Do not sum alternative methods</t>
  </si>
  <si>
    <t>CORE CONTROLS  |  PRIOR MODEL VALUES AND ILLUSTRATIVE PARAMETERS — REPLACE ONLY WHERE APPROPRIATE</t>
  </si>
  <si>
    <t>Projection year</t>
  </si>
  <si>
    <t>B2B / consumer market CAGR (illustrative)</t>
  </si>
  <si>
    <t>U.S. labor gap wages ($bn)</t>
  </si>
  <si>
    <t>Core model values: U.S. exposed wages ~$5.3T; global ex-China ~$14T; U.S. counterfactual missing-labor wage value ~$586B. All seat counts, market CAGR and hurdle numbers are examples.</t>
  </si>
  <si>
    <t>U.S. exposed wage pool ($bn)</t>
  </si>
  <si>
    <t>Global ex-China wage pool ($bn)</t>
  </si>
  <si>
    <t>Ex-China includes U.S.</t>
  </si>
  <si>
    <t>YES</t>
  </si>
  <si>
    <t>Hurdle LOW ($bn/yr) - scenario</t>
  </si>
  <si>
    <t>Hurdle BASE ($bn/yr) - scenario</t>
  </si>
  <si>
    <t>Hurdle HIGH ($bn/yr) - scenario</t>
  </si>
  <si>
    <t>Revenue map default: U.S. evidence pilot. Global ex-China wages are shown as a separate alternate geography, NOT added to U.S. value. Public B2B / B2C market sizes below are U.S. only.</t>
  </si>
  <si>
    <t>U.S. potential seats (million) - placeholder</t>
  </si>
  <si>
    <t>Enterprise paid penetration - scenario</t>
  </si>
  <si>
    <t>Annual price / paid seat ($) - scenario</t>
  </si>
  <si>
    <t>Ex-China potential seats (million) - placeholder</t>
  </si>
  <si>
    <t>Ex-China paid penetration - scenario</t>
  </si>
  <si>
    <t>2025 consumer subscriptions ($bn) - example</t>
  </si>
  <si>
    <t>Economic viability / exposed tasks</t>
  </si>
  <si>
    <t>Effective task utilization</t>
  </si>
  <si>
    <t>FORMULA: Projected market/wage base × in-scope % × AI-addressable % × effective utilization % × benefit or spending-shift % = economic opportunity; × vendor share = illustrative AI vendor revenue. For B2B, in-scope = comparable supplier operating margin, NOT gross profit. For a seat-based alternative, direct paying seats × annual fee becomes a separately tagged row.</t>
  </si>
  <si>
    <t>Realizable task labor saving</t>
  </si>
  <si>
    <t>Vendor share of realized economic benefit</t>
  </si>
  <si>
    <t>Labor gap AI-addressable portion</t>
  </si>
  <si>
    <t>Labor gap AI-fulfilled portion</t>
  </si>
  <si>
    <t>Vendor share of missing-labor value</t>
  </si>
  <si>
    <t>Illustrative B2C AI device share shift</t>
  </si>
  <si>
    <t>A  |  ALL BUCKETS — BASE DATA, 2030 SCENARIO, AI ECONOMICS, AND OVERLAP GATES</t>
  </si>
  <si>
    <t>ID</t>
  </si>
  <si>
    <t>Primary bucket</t>
  </si>
  <si>
    <t>Submarket / use case</t>
  </si>
  <si>
    <t>Economic channel</t>
  </si>
  <si>
    <t>What buyer gains / what is displaced</t>
  </si>
  <si>
    <t>Source year</t>
  </si>
  <si>
    <t>Market geography</t>
  </si>
  <si>
    <t>Source market / wages ($bn)</t>
  </si>
  <si>
    <t>Projected 2030 base ($bn)</t>
  </si>
  <si>
    <t>In-scope %</t>
  </si>
  <si>
    <t>AI-addressable %</t>
  </si>
  <si>
    <t>Utilization %</t>
  </si>
  <si>
    <t>Benefit or spend shift %</t>
  </si>
  <si>
    <t>Vendor capture %</t>
  </si>
  <si>
    <t>Economic value ($bn/yr)</t>
  </si>
  <si>
    <t>Vendor rev proxy ($bn/yr)</t>
  </si>
  <si>
    <t>Include (0 / 1)</t>
  </si>
  <si>
    <t>Core waterfall ($bn/yr)</t>
  </si>
  <si>
    <t>Evidence status</t>
  </si>
  <si>
    <t>Public source / download link</t>
  </si>
  <si>
    <t>Boundary / overlap check</t>
  </si>
  <si>
    <t>L01</t>
  </si>
  <si>
    <t>LABOR</t>
  </si>
  <si>
    <t>Missing workers: U.S. growth-trend gap</t>
  </si>
  <si>
    <t>FILL / SAVINGS</t>
  </si>
  <si>
    <t>Value of counterfactual positions that might be serviced without equivalent hires</t>
  </si>
  <si>
    <t>U.S. - prior model</t>
  </si>
  <si>
    <t>PRIOR MODEL + SCENARIO</t>
  </si>
  <si>
    <t>Link labor-gap workbook; BLS employment projections</t>
  </si>
  <si>
    <t>Potentially overlaps with enterprise-seat revenue and wage-augmentation benefits; default exclude</t>
  </si>
  <si>
    <t>L02</t>
  </si>
  <si>
    <t>Existing workers: wage-value capture</t>
  </si>
  <si>
    <t>AUGMENT / SAVE</t>
  </si>
  <si>
    <t>Working wage pool; exposure already embedded in 2030 exposed-wage base</t>
  </si>
  <si>
    <t>PRIOR MODEL + PWBM ASSUMPTIONS</t>
  </si>
  <si>
    <t>https://budgetmodel.wharton.upenn.edu/p/2025-09-08-the-projected-impact-of-generative-ai-on-future-productivity-growth/</t>
  </si>
  <si>
    <t>This value supports willingness to pay; do not add to seat-based enterprise subscription revenue</t>
  </si>
  <si>
    <t>L03</t>
  </si>
  <si>
    <t>Existing workers: global ex-China value</t>
  </si>
  <si>
    <t>Alternative geography to L02; includes U.S.</t>
  </si>
  <si>
    <t>Global ex-China</t>
  </si>
  <si>
    <t>Link existing global ex-China exposure model</t>
  </si>
  <si>
    <t>Alternative to L02, not incremental US revenue; do not enter US waterfall</t>
  </si>
  <si>
    <t>L04</t>
  </si>
  <si>
    <t>Enterprise paid seats: U.S. method</t>
  </si>
  <si>
    <t>SEAT / PRICE</t>
  </si>
  <si>
    <t>Cross-check enterprise vendor revenue based on potential seats, paid share and pricing</t>
  </si>
  <si>
    <t>U.S. - illustrative</t>
  </si>
  <si>
    <t>ILLUSTRATIVE SEATS</t>
  </si>
  <si>
    <t>Link previously computed U.S. exposed headcount; Copilot seat benchmark</t>
  </si>
  <si>
    <t>Alternative to L02, no sum; potential exposed headcount must not be task-adjusted worker count</t>
  </si>
  <si>
    <t>L05</t>
  </si>
  <si>
    <t>Enterprise paid seats: global ex-China</t>
  </si>
  <si>
    <t>Global seat-based cross-check</t>
  </si>
  <si>
    <t>Link previously computed global ex-China exposed headcount</t>
  </si>
  <si>
    <t>Alternative geography / method; not additive with L03 or L04</t>
  </si>
  <si>
    <t>B01</t>
  </si>
  <si>
    <t>B2B</t>
  </si>
  <si>
    <t>Enterprise application software / SaaS</t>
  </si>
  <si>
    <t>PROFIT TRANSFER</t>
  </si>
  <si>
    <t>Internal-build AI agents may substitute purchased software features</t>
  </si>
  <si>
    <t>U.S. official</t>
  </si>
  <si>
    <t>PUBLIC MARKET / PROXY MARGIN</t>
  </si>
  <si>
    <t>https://fred.stlouisfed.org/series/AIES5112RCT00US</t>
  </si>
  <si>
    <t>Supplier operating profit only; wage cost is already represented in labor bucket. Excludes broad cloud infra sales</t>
  </si>
  <si>
    <t>B02</t>
  </si>
  <si>
    <t>IT services and systems integration</t>
  </si>
  <si>
    <t>Automated migration, integration, implementation, maintenance</t>
  </si>
  <si>
    <t>https://fred.stlouisfed.org/series/AIES5415RCT00US</t>
  </si>
  <si>
    <t>Distinct from software publishers NAICS; excludes labor to avoid duplicates</t>
  </si>
  <si>
    <t>B03</t>
  </si>
  <si>
    <t>Law firms / document review</t>
  </si>
  <si>
    <t>Contract drafting, discovery, document analysis, legal support</t>
  </si>
  <si>
    <t>PUBLIC MARKET / MARGIN PROXY</t>
  </si>
  <si>
    <t>https://fred.stlouisfed.org/series/AIES54111RCT00US</t>
  </si>
  <si>
    <t>Law offices, not all legal services. General services EBIT margin is only a proxy</t>
  </si>
  <si>
    <t>B04</t>
  </si>
  <si>
    <t>Management consulting &amp; analysis</t>
  </si>
  <si>
    <t>Automate first drafts, analysis, diligence and research workflow</t>
  </si>
  <si>
    <t>https://fred.stlouisfed.org/series/AIES54161RCT00US</t>
  </si>
  <si>
    <t>Consulting scope includes labor; do NOT treat full fees as incremental AI spend</t>
  </si>
  <si>
    <t>B05</t>
  </si>
  <si>
    <t>Advertising agencies &amp; creative production</t>
  </si>
  <si>
    <t>Creative, media planning, content and campaign analytics</t>
  </si>
  <si>
    <t>https://fred.stlouisfed.org/series/AIES54181RCT00US</t>
  </si>
  <si>
    <t>Agency fees only, not ad media spend; avoid double count marketing employee wages</t>
  </si>
  <si>
    <t>B06</t>
  </si>
  <si>
    <t>Accounting, audit and payroll operations</t>
  </si>
  <si>
    <t>Bookkeeping, financial close, tax drafting, audit preparation</t>
  </si>
  <si>
    <t>U.S. - source needed</t>
  </si>
  <si>
    <t>NEEDS DISTINCT MARKET BASE</t>
  </si>
  <si>
    <t>https://www.census.gov/programs-surveys/aies.html</t>
  </si>
  <si>
    <t>Separate audit / payroll revenues to avoid overlapping management consulting</t>
  </si>
  <si>
    <t>B07</t>
  </si>
  <si>
    <t>Customer contact-center outsourcing</t>
  </si>
  <si>
    <t>Replace outsourced service vendor work; AI voice / support automation</t>
  </si>
  <si>
    <t>Could overlap with existing in-house labor productivity and contact-center agent subscription</t>
  </si>
  <si>
    <t>B08</t>
  </si>
  <si>
    <t>Recruitment &amp; HR outsourcing</t>
  </si>
  <si>
    <t>Recruiter workflows, screening, onboarding and HR administration</t>
  </si>
  <si>
    <t>Staffing pass-through wages are NOT AI vendor revenue</t>
  </si>
  <si>
    <t>B09</t>
  </si>
  <si>
    <t>Market data, research and information licensing</t>
  </si>
  <si>
    <t>Agent retrieval, data aggregation and analyst tools substitute contracted services</t>
  </si>
  <si>
    <t>Avoid licensing / data ownership and cannibalization assumptions</t>
  </si>
  <si>
    <t>B10</t>
  </si>
  <si>
    <t>Cybersecurity / compliance managed services</t>
  </si>
  <si>
    <t>AI triage, security operations, compliance surveillance</t>
  </si>
  <si>
    <t>Could create net new cyber spend, not just eliminate existing margins</t>
  </si>
  <si>
    <t>B11</t>
  </si>
  <si>
    <t>Procurement, logistics and supply chain services</t>
  </si>
  <si>
    <t>Automation of sourcing / claims / scheduling / freight administration</t>
  </si>
  <si>
    <t>Separate platform margins from physical goods/freight; avoid gross merchandise flow</t>
  </si>
  <si>
    <t>B12</t>
  </si>
  <si>
    <t>Industrial robotics, manufacturing agents</t>
  </si>
  <si>
    <t>NEW CAPABILITY</t>
  </si>
  <si>
    <t>Physical automation-as-a-service; new productive capacity</t>
  </si>
  <si>
    <t>Global - potential</t>
  </si>
  <si>
    <t>FRONTIER / NO BASE</t>
  </si>
  <si>
    <t>https://ifr.org/</t>
  </si>
  <si>
    <t>New spend category; adoption and unique pricing needed before inclusion</t>
  </si>
  <si>
    <t>B13</t>
  </si>
  <si>
    <t>Drug discovery &amp; life-science AI services</t>
  </si>
  <si>
    <t>Molecule screening / clinical design / R&amp;D support</t>
  </si>
  <si>
    <t>https://www.nih.gov/</t>
  </si>
  <si>
    <t>Large economic benefits are not identical to AI provider revenue</t>
  </si>
  <si>
    <t>B14</t>
  </si>
  <si>
    <t>Energy &amp; data center orchestration</t>
  </si>
  <si>
    <t>AI optimizes industrial electricity, grid scheduling and uptime</t>
  </si>
  <si>
    <t>https://www.eia.gov/</t>
  </si>
  <si>
    <t>Avoid counting energy-infrastructure capital spend as software revenue</t>
  </si>
  <si>
    <t>C01</t>
  </si>
  <si>
    <t>B2C</t>
  </si>
  <si>
    <t>Personal AI subscriptions / assistants</t>
  </si>
  <si>
    <t>SUBSCRIPTION</t>
  </si>
  <si>
    <t>Direct consumer recurring fees, separate from employer-paid seats</t>
  </si>
  <si>
    <t>U.S. illustrative</t>
  </si>
  <si>
    <t>ILLUSTRATIVE / LINK YOUR MODEL</t>
  </si>
  <si>
    <t>Link existing consumer subscriptions workbook</t>
  </si>
  <si>
    <t>Treat as observed AI vendor revenue only if subscription billings independently derived</t>
  </si>
  <si>
    <t>C02</t>
  </si>
  <si>
    <t>AI PCs &amp; consumer technology premium</t>
  </si>
  <si>
    <t>SPEND REALLOCATION</t>
  </si>
  <si>
    <t>Consumer hardware premium / AI-enabled device refresh, net incremental wallet unclear</t>
  </si>
  <si>
    <t>PUBLIC SPEND BASE + SCENARIO</t>
  </si>
  <si>
    <t>https://fred.stlouisfed.org/series/DVAPRC1A027NBEA</t>
  </si>
  <si>
    <t>1% of PCE is a SPEND SHIFT, not new AI revenue; vendor share proxy; no overlap with device services</t>
  </si>
  <si>
    <t>C03</t>
  </si>
  <si>
    <t>Smart glasses, wearables, personal interfaces</t>
  </si>
  <si>
    <t>NEW PRODUCTS</t>
  </si>
  <si>
    <t>Premium devices and bundled AI experiences</t>
  </si>
  <si>
    <t>U.S. - overlaps C02</t>
  </si>
  <si>
    <t>SEPARATE SUBSEGMENT NEEDED</t>
  </si>
  <si>
    <t>https://www.bea.gov/data/consumer-spending/main</t>
  </si>
  <si>
    <t>Do not add to C02 broad consumer equipment category without netting subcategory</t>
  </si>
  <si>
    <t>C04</t>
  </si>
  <si>
    <t>Education, tutoring and language learning</t>
  </si>
  <si>
    <t>Households purchase personalized AI tutors / learning services</t>
  </si>
  <si>
    <t>NEEDS CONSUMER PRICE / USERS</t>
  </si>
  <si>
    <t>Exclude paid enterprise / school edtech overlapping institutional SaaS</t>
  </si>
  <si>
    <t>C05</t>
  </si>
  <si>
    <t>Wellness, health navigation, coaching</t>
  </si>
  <si>
    <t>Consumer care support, coaching, non-diagnostic wellness</t>
  </si>
  <si>
    <t>Regulatory and clinical constraints; distinct from employer healthcare platforms</t>
  </si>
  <si>
    <t>C06</t>
  </si>
  <si>
    <t>Entertainment, games and personalized media</t>
  </si>
  <si>
    <t>NEW MEDIA</t>
  </si>
  <si>
    <t>AI-generated interactive entertainment / premium media plans</t>
  </si>
  <si>
    <t>NEEDS PRICE / CATALOG</t>
  </si>
  <si>
    <t>Avoid claiming total streaming/game spend incremental from AI</t>
  </si>
  <si>
    <t>C07</t>
  </si>
  <si>
    <t>AI shopping agents and commerce</t>
  </si>
  <si>
    <t>COMMISSION</t>
  </si>
  <si>
    <t>Consumer commerce agents; vendor earns take rate on attributable transactions</t>
  </si>
  <si>
    <t>NEEDS AGENT GMV / TAKE RATE</t>
  </si>
  <si>
    <t>https://www.census.gov/retail/</t>
  </si>
  <si>
    <t>Do not use full GMV as AI vendor revenue; only attributable incremental fee</t>
  </si>
  <si>
    <t>C08</t>
  </si>
  <si>
    <t>Creator, photo, audio and video AI tools</t>
  </si>
  <si>
    <t>New individual prosumer software and asset creation</t>
  </si>
  <si>
    <t>NEEDS NON-OVERLAPPING USERS</t>
  </si>
  <si>
    <t>Check overlap with C01 AI assistant subscriptions and workplace creator seats</t>
  </si>
  <si>
    <t>C09</t>
  </si>
  <si>
    <t>Home robotics and household automation</t>
  </si>
  <si>
    <t>Household time saving / domestic task assistance</t>
  </si>
  <si>
    <t>HIGH UNCERTAINTY</t>
  </si>
  <si>
    <t>Hardware revenue and AI model fees at different value-chain levels</t>
  </si>
  <si>
    <t>C10</t>
  </si>
  <si>
    <t>Travel, financial planning and lifestyle agents</t>
  </si>
  <si>
    <t>Outcome-based bookings / advice / transaction fees</t>
  </si>
  <si>
    <t>NEEDS TRANSACTION SHARE</t>
  </si>
  <si>
    <t>Need incremental agent revenue, not booked travel value</t>
  </si>
  <si>
    <t>C11</t>
  </si>
  <si>
    <t>Personal mobility / autonomous services</t>
  </si>
  <si>
    <t>AI mobility services, autonomy features, new subscriptions</t>
  </si>
  <si>
    <t>Autonomy vehicle hardware / ride revenue and AI vendor capture are different</t>
  </si>
  <si>
    <t>C12</t>
  </si>
  <si>
    <t>AI newspapers, news and information</t>
  </si>
  <si>
    <t>AI news summaries, personal research and information bundles</t>
  </si>
  <si>
    <t>NEEDS NET INCREMENTAL SPEND</t>
  </si>
  <si>
    <t>Cannibalizes publisher subscriptions / online advertising; net model required</t>
  </si>
  <si>
    <t>HOW THE BUCKETS CONNECT  |  ECONOMIC ACCOUNTING FRAMEWORK</t>
  </si>
  <si>
    <t>LABOR / existing employees</t>
  </si>
  <si>
    <t>Employers gain output or avoid wages; AI suppliers may monetize some value via seats, usage or outcomes. Productivity-value and paid-seat pricing are TWO estimates of the SAME vendor flow.</t>
  </si>
  <si>
    <t>LABOR / missing employees</t>
  </si>
  <si>
    <t>Counterfactual unmet job demand is a distinct starting point, but may overlap deployment capacity and spending of existing enterprises. Default OFF until the coverage bridge is reconciled.</t>
  </si>
  <si>
    <t>B2B incumbent supplier profit</t>
  </si>
  <si>
    <t>Customer can replace externally purchased services. Supplier wage costs already appear in broader labor pool; only the supplier operating profit proxy is screened here, and even this is not guaranteed incremental vendor sales.</t>
  </si>
  <si>
    <t>B2B new output</t>
  </si>
  <si>
    <t>Robotics, research and scientific tools may create net-new products, not just displace service margins. Report as unquantified option value until a unique volume × price anchor exists.</t>
  </si>
  <si>
    <t>B2C subscriptions</t>
  </si>
  <si>
    <t>Direct paid consumer spend is separate from employer-paid enterprise seats only after payer/user overlaps are removed.</t>
  </si>
  <si>
    <t>B2C devices / media</t>
  </si>
  <si>
    <t>Hardware purchases, bundled digital services, consumer AI subscriptions and model/API revenue occupy different value-chain stages. A 1% wallet share shift is NOT automatically incremental AI vendor revenue.</t>
  </si>
  <si>
    <t>Geography &amp; years</t>
  </si>
  <si>
    <t>U.S. observed 2024–25 market pools do not make a complete global estimate. Global ex-China wage model includes U.S.; do not equate mixed totals to worldwide infrastructure returns.</t>
  </si>
  <si>
    <t>Economic flows &amp; chart inclusion</t>
  </si>
  <si>
    <t>R = P × Q; switching inclusion on forces the item into the conservative waterfall. Alternatives, geographic duplicates and potential double counts should remain zero until reconciled.</t>
  </si>
  <si>
    <t>QUICK DIAGNOSTIC  |  MARKET SOURCE FACTS ARE NOT AGGREGATED TAMs</t>
  </si>
  <si>
    <t>U.S. core selected waterfall ($bn/yr)</t>
  </si>
  <si>
    <t>Gross model opportunity ($bn/yr), includes overlap / alternatives</t>
  </si>
  <si>
    <t>B2B profit-value proxy only (illustrative)</t>
  </si>
  <si>
    <t>U.S. consumer devices AI shift proxy only</t>
  </si>
  <si>
    <t>AI ROI | FOOTBALL FIELD &amp; REVENUE BRIDGE — 2030</t>
  </si>
  <si>
    <t>DOLLARS PER YEAR ($bn)  •  U.S. public-market pilot, plus separate Global ex-China labor scenarios  •  Blue = input  •  Green = linked worksheet  •  Shaded = illustrative / unverified</t>
  </si>
  <si>
    <t>01  |  ONE-PAGE ROI SCORECARD — SOURCE VALUE, ECONOMIC POOL, AND VENDOR REVENUE ARE DIFFERENT THINGS</t>
  </si>
  <si>
    <t>Measure / bucket</t>
  </si>
  <si>
    <t>U.S. ($bn/yr)</t>
  </si>
  <si>
    <t>Global ex-China ($bn/yr)</t>
  </si>
  <si>
    <t>Revenue interpretation</t>
  </si>
  <si>
    <t>Next model step</t>
  </si>
  <si>
    <t>ECON</t>
  </si>
  <si>
    <t>AI-exposed wage base</t>
  </si>
  <si>
    <t>Technical wage exposure; NOT spend</t>
  </si>
  <si>
    <t>Preserve base from existing model</t>
  </si>
  <si>
    <t>Counterfactual missing labor gap</t>
  </si>
  <si>
    <t>Economic need, not observed vendor revenue</t>
  </si>
  <si>
    <t>Link Global ex-China gap when available</t>
  </si>
  <si>
    <t>Existing worker economic value</t>
  </si>
  <si>
    <t>Employer-side value BEFORE vendor capture</t>
  </si>
  <si>
    <t>Check 23% viability and realized task saving</t>
  </si>
  <si>
    <t>Existing worker vendor capture</t>
  </si>
  <si>
    <t>Alternative to seat-subscription model</t>
  </si>
  <si>
    <t>Avoid adding to per-seat subscription revenue</t>
  </si>
  <si>
    <t>Enterprise seat subscription alternative</t>
  </si>
  <si>
    <t>Paid seats × annual price (illustrative)</t>
  </si>
  <si>
    <t>Connect actual employee denominators</t>
  </si>
  <si>
    <t>U.S. incumbent provider profit capture</t>
  </si>
  <si>
    <t>Screened supplier profit transfer only</t>
  </si>
  <si>
    <t>Needs non-overlap sign-off and global data</t>
  </si>
  <si>
    <t>Direct consumer subscriptions</t>
  </si>
  <si>
    <t>Distinct household-paid revenue</t>
  </si>
  <si>
    <t>Replace illustrative consumer subscriber model</t>
  </si>
  <si>
    <t>AI consumer device spend shift</t>
  </si>
  <si>
    <t>Potential wallet reallocation; not proven net AI revenue</t>
  </si>
  <si>
    <t>Validate incremental AI content / value capture</t>
  </si>
  <si>
    <t>RESULT</t>
  </si>
  <si>
    <t>CORE selected model sum</t>
  </si>
  <si>
    <t>Scenario screening metric; US-oriented pilot</t>
  </si>
  <si>
    <t>Compare to matched regional infrastructure hurdle</t>
  </si>
  <si>
    <t>Gross exploratory proxy, NOT additive</t>
  </si>
  <si>
    <t>Includes regional / methodological doubles</t>
  </si>
  <si>
    <t>NEVER use as publishable total</t>
  </si>
  <si>
    <t>HURDLE</t>
  </si>
  <si>
    <t>Annual required revenue — illustrative low</t>
  </si>
  <si>
    <t>Not a matched U.S. investment hurdle yet</t>
  </si>
  <si>
    <t>LINK CapEx / capital recovery output</t>
  </si>
  <si>
    <t>Annual required revenue — illustrative base</t>
  </si>
  <si>
    <t>Annual required revenue — illustrative high</t>
  </si>
  <si>
    <t>02  |  FOOTBALL-FIELD RANGES BY MONETIZATION BUCKET — ILLUSTRATIVE SCENARIOS</t>
  </si>
  <si>
    <t>Code</t>
  </si>
  <si>
    <t>Opportunity category</t>
  </si>
  <si>
    <t>Low 0.6× ($bn)</t>
  </si>
  <si>
    <t>Base ($bn)</t>
  </si>
  <si>
    <t>High 1.5× ($bn)</t>
  </si>
  <si>
    <t>Boundary / inclusion note</t>
  </si>
  <si>
    <t>R1</t>
  </si>
  <si>
    <t>Missing labor</t>
  </si>
  <si>
    <t>Independent monetization is UNVERIFIED; core waterfall OFF</t>
  </si>
  <si>
    <t>R2</t>
  </si>
  <si>
    <t>Existing worker AI</t>
  </si>
  <si>
    <t>Wage-value capture; alternative to enterprise price per seat</t>
  </si>
  <si>
    <t>R3</t>
  </si>
  <si>
    <t>Enterprise seats — alternative</t>
  </si>
  <si>
    <t>Do NOT add with existing worker captured wages</t>
  </si>
  <si>
    <t>R4</t>
  </si>
  <si>
    <t>B2B supplier profit</t>
  </si>
  <si>
    <t>Only incumbent nonlabor profit proxy; confidence low</t>
  </si>
  <si>
    <t>R5</t>
  </si>
  <si>
    <t>Consumer subscriptions</t>
  </si>
  <si>
    <t>Subscription estimate to link to existing consumer model</t>
  </si>
  <si>
    <t>R6</t>
  </si>
  <si>
    <t>Consumer devices / tech share shift</t>
  </si>
  <si>
    <t>Spend reallocation proxy; not proven vendor increment</t>
  </si>
  <si>
    <t>Low and High are presentation sensitivities (0.6× / 1.5×), not statistical confidence intervals. The source opportunity is NOT additive to wages/seat alternatives by default.</t>
  </si>
  <si>
    <t>03  |  UPWARD WATERFALL — SELECTED US REVENUE CHANNELS ONLY (DO NOT MIX GLOBAL WAGE BASE)</t>
  </si>
  <si>
    <t>Step</t>
  </si>
  <si>
    <t>Annual revenue component</t>
  </si>
  <si>
    <t>Flow ($bn)</t>
  </si>
  <si>
    <t>Cumulative ($bn)</t>
  </si>
  <si>
    <t>Waterfall offset</t>
  </si>
  <si>
    <t>Included?</t>
  </si>
  <si>
    <t>Labor gap</t>
  </si>
  <si>
    <t>Enterprise: existing labor</t>
  </si>
  <si>
    <t>B2B: software publishers</t>
  </si>
  <si>
    <t>B2B: IT services</t>
  </si>
  <si>
    <t>B2B: legal</t>
  </si>
  <si>
    <t>B2B: consulting</t>
  </si>
  <si>
    <t>B2B: advertising</t>
  </si>
  <si>
    <t>B2C: subscriptions</t>
  </si>
  <si>
    <t>B2C: device upgrade shift</t>
  </si>
  <si>
    <t>TOTAL SELECTED ANNUAL REVENUE</t>
  </si>
  <si>
    <t>The chart adds ONLY rows with Include = 1. Change inclusion gates in Buckets Q-column only after reconciling enterprise alternatives and provider profit transfer. Exhibit is illustrative, not a matched economic ROI forecast.</t>
  </si>
  <si>
    <t>04  |  MAP OF ECONOMIC RELATIONSHIPS — WHY BUCKETS CANNOT BE SUMMED AS IF ALL WERE VENDOR REVENUE</t>
  </si>
  <si>
    <t>Employee / labor cost</t>
  </si>
  <si>
    <t>Employer saving, output uplift, or unfilled workforce capacity</t>
  </si>
  <si>
    <t>Firm shares value with model vendor</t>
  </si>
  <si>
    <t>Value / seat models are alternatives</t>
  </si>
  <si>
    <t>Existing supplier contracts</t>
  </si>
  <si>
    <t>Buyer insources service; supplier wage and profit at risk</t>
  </si>
  <si>
    <t>Supplier profit can transfer, but profit != invoice to AI vendor</t>
  </si>
  <si>
    <t>Remove embedded provider labor</t>
  </si>
  <si>
    <t>Household spending</t>
  </si>
  <si>
    <t>Consumer pays for assistant, device, media or new services</t>
  </si>
  <si>
    <t>Price × paying users, device margin, usage fees</t>
  </si>
  <si>
    <t>Net shift, not total replacement market</t>
  </si>
  <si>
    <t>NEW</t>
  </si>
  <si>
    <t>New demand / new products</t>
  </si>
  <si>
    <t>Net new capability, scientific outcomes, new transaction volume</t>
  </si>
  <si>
    <t>New fee / licensing / take-rate; uncertain</t>
  </si>
  <si>
    <t>Separate GMV, hardware, cloud and app layers</t>
  </si>
  <si>
    <t>05  |  NEXT DATA COLLECTION — PRIORITIZED FOR VALIDATED 2030 GLOBAL EXPANSION</t>
  </si>
  <si>
    <t>Group</t>
  </si>
  <si>
    <t>Core selected</t>
  </si>
  <si>
    <t>Exploratory potential</t>
  </si>
  <si>
    <t>Overlap flag</t>
  </si>
  <si>
    <t>Labor</t>
  </si>
  <si>
    <t>Workforce/enterprise alternative</t>
  </si>
  <si>
    <t>P1</t>
  </si>
  <si>
    <t>Global exposed employee seats</t>
  </si>
  <si>
    <t>Use country employment and occupation-level exposed-worker share; replace 100M/400M illustrative seats</t>
  </si>
  <si>
    <t>Transfer of incumbent supplier profit</t>
  </si>
  <si>
    <t>B2B software / IT / consulting global profit pool</t>
  </si>
  <si>
    <t>Country × industry revenues, operating margins, geographic scaling; do not extrapolate US salary or mix blindly</t>
  </si>
  <si>
    <t>Consumer cash revenue and unproven shifts</t>
  </si>
  <si>
    <t>Incrementality and overlap bridge</t>
  </si>
  <si>
    <t>Input-output flows to identify supplier labor vs nonlabor profit; enterprise software fees vs labor pricing alternatives</t>
  </si>
  <si>
    <t>P2</t>
  </si>
  <si>
    <t>Consumer direct / devices / agents</t>
  </si>
  <si>
    <t>Consumer subscription forecast, devices premium vs base refresh, actual take rates / paid users</t>
  </si>
  <si>
    <t>AI infrastructure hurdle matching</t>
  </si>
  <si>
    <t>Same region, same year and compute provider vs application vendor revenue layer; capex cohorts need matching</t>
  </si>
  <si>
    <t>P3</t>
  </si>
  <si>
    <t>Emerging robotics / science / autonomy</t>
  </si>
  <si>
    <t>Unique addressable demand × penetration × provider price, with regulatory and infrastructure caveats</t>
  </si>
  <si>
    <t>Scenario</t>
  </si>
  <si>
    <t>Annual $bn</t>
  </si>
  <si>
    <t>Selected U.S. pilot</t>
  </si>
  <si>
    <t>Illustrative low hurdle</t>
  </si>
  <si>
    <t>Illustrative base hurdle</t>
  </si>
  <si>
    <t>Illustrative high hurdle</t>
  </si>
  <si>
    <t>The low/base/high required-revenue cases are illustrative placeholders. Do not present this comparison as a valid coverage ratio until numerator and denominator share geography, date, and value-chain scope.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</si>
</sst>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#,##0.0;[Red]\(#,##0.0\);&quot;–&quot;"/>
    <numFmt numFmtId="179" formatCode="#,##0;[Red]\(#,##0\);&quot;–&quot;"/>
    <numFmt numFmtId="180" formatCode="0.0%;[Red]\(0.0%\);&quot;–&quot;"/>
  </numFmts>
  <fonts count="32">
    <font>
      <sz val="11"/>
      <name val="Carlito"/>
      <charset val="134"/>
    </font>
    <font>
      <b/>
      <sz val="14"/>
      <color rgb="FFFFFFFF"/>
      <name val="Arial"/>
      <charset val="134"/>
    </font>
    <font>
      <sz val="9"/>
      <color rgb="FF546579"/>
      <name val="Arial"/>
      <charset val="134"/>
    </font>
    <font>
      <sz val="9"/>
      <color rgb="FF101820"/>
      <name val="Arial"/>
      <charset val="134"/>
    </font>
    <font>
      <b/>
      <sz val="10"/>
      <color rgb="FFFFFFFF"/>
      <name val="Arial"/>
      <charset val="134"/>
    </font>
    <font>
      <b/>
      <sz val="9"/>
      <color rgb="FF243B55"/>
      <name val="Arial"/>
      <charset val="134"/>
    </font>
    <font>
      <sz val="9"/>
      <color rgb="FF008000"/>
      <name val="Arial"/>
      <charset val="134"/>
    </font>
    <font>
      <b/>
      <sz val="9"/>
      <color rgb="FF101820"/>
      <name val="Arial"/>
      <charset val="134"/>
    </font>
    <font>
      <b/>
      <sz val="9"/>
      <color rgb="FF008000"/>
      <name val="Arial"/>
      <charset val="134"/>
    </font>
    <font>
      <sz val="9"/>
      <color rgb="FF0000FF"/>
      <name val="Arial"/>
      <charset val="134"/>
    </font>
    <font>
      <b/>
      <sz val="9"/>
      <color rgb="FFFFFFFF"/>
      <name val="Arial"/>
      <charset val="134"/>
    </font>
    <font>
      <sz val="9"/>
      <color rgb="FF9A6A22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14263B"/>
        <bgColor indexed="64"/>
      </patternFill>
    </fill>
    <fill>
      <patternFill patternType="solid">
        <fgColor rgb="FF243B55"/>
        <bgColor indexed="64"/>
      </patternFill>
    </fill>
    <fill>
      <patternFill patternType="solid">
        <fgColor rgb="FFE6EEF5"/>
        <bgColor indexed="64"/>
      </patternFill>
    </fill>
    <fill>
      <patternFill patternType="solid">
        <fgColor rgb="FFEFF2F5"/>
        <bgColor indexed="64"/>
      </patternFill>
    </fill>
    <fill>
      <patternFill patternType="solid">
        <fgColor rgb="FFF8F0EC"/>
        <bgColor indexed="64"/>
      </patternFill>
    </fill>
    <fill>
      <patternFill patternType="solid">
        <fgColor rgb="FFFFF4C8"/>
        <bgColor indexed="64"/>
      </patternFill>
    </fill>
    <fill>
      <patternFill patternType="solid">
        <fgColor rgb="FFEAF1EB"/>
        <bgColor indexed="64"/>
      </patternFill>
    </fill>
    <fill>
      <patternFill patternType="solid">
        <fgColor rgb="FFF7F9FA"/>
        <bgColor indexed="64"/>
      </patternFill>
    </fill>
    <fill>
      <patternFill patternType="solid">
        <fgColor rgb="FFEDF0F5"/>
        <bgColor indexed="64"/>
      </patternFill>
    </fill>
    <fill>
      <patternFill patternType="solid">
        <fgColor rgb="FFE9F1F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12" borderId="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3" borderId="4" applyNumberFormat="0" applyAlignment="0" applyProtection="0">
      <alignment vertical="center"/>
    </xf>
    <xf numFmtId="0" fontId="22" fillId="14" borderId="5" applyNumberFormat="0" applyAlignment="0" applyProtection="0">
      <alignment vertical="center"/>
    </xf>
    <xf numFmtId="0" fontId="23" fillId="14" borderId="4" applyNumberFormat="0" applyAlignment="0" applyProtection="0">
      <alignment vertical="center"/>
    </xf>
    <xf numFmtId="0" fontId="24" fillId="15" borderId="6" applyNumberFormat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</cellStyleXfs>
  <cellXfs count="42">
    <xf numFmtId="0" fontId="0" fillId="0" borderId="0" xfId="0"/>
    <xf numFmtId="0" fontId="1" fillId="2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/>
    <xf numFmtId="0" fontId="3" fillId="0" borderId="0" xfId="0" applyNumberFormat="1" applyFont="1" applyFill="1" applyBorder="1"/>
    <xf numFmtId="0" fontId="4" fillId="3" borderId="0" xfId="0" applyNumberFormat="1" applyFont="1" applyFill="1" applyBorder="1" applyAlignment="1">
      <alignment vertical="center"/>
    </xf>
    <xf numFmtId="0" fontId="5" fillId="4" borderId="0" xfId="0" applyNumberFormat="1" applyFont="1" applyFill="1" applyBorder="1" applyAlignment="1">
      <alignment wrapText="1"/>
    </xf>
    <xf numFmtId="178" fontId="6" fillId="0" borderId="0" xfId="0" applyNumberFormat="1" applyFont="1" applyFill="1" applyBorder="1"/>
    <xf numFmtId="0" fontId="3" fillId="0" borderId="0" xfId="0" applyNumberFormat="1" applyFont="1" applyFill="1" applyBorder="1" applyAlignment="1">
      <alignment wrapText="1"/>
    </xf>
    <xf numFmtId="178" fontId="3" fillId="0" borderId="0" xfId="0" applyNumberFormat="1" applyFont="1" applyFill="1" applyBorder="1"/>
    <xf numFmtId="0" fontId="7" fillId="5" borderId="0" xfId="0" applyNumberFormat="1" applyFont="1" applyFill="1" applyBorder="1"/>
    <xf numFmtId="178" fontId="8" fillId="5" borderId="0" xfId="0" applyNumberFormat="1" applyFont="1" applyFill="1" applyBorder="1"/>
    <xf numFmtId="178" fontId="7" fillId="5" borderId="0" xfId="0" applyNumberFormat="1" applyFont="1" applyFill="1" applyBorder="1"/>
    <xf numFmtId="0" fontId="7" fillId="5" borderId="0" xfId="0" applyNumberFormat="1" applyFont="1" applyFill="1" applyBorder="1" applyAlignment="1">
      <alignment wrapText="1"/>
    </xf>
    <xf numFmtId="0" fontId="3" fillId="6" borderId="0" xfId="0" applyNumberFormat="1" applyFont="1" applyFill="1" applyBorder="1"/>
    <xf numFmtId="178" fontId="6" fillId="6" borderId="0" xfId="0" applyNumberFormat="1" applyFont="1" applyFill="1" applyBorder="1"/>
    <xf numFmtId="178" fontId="3" fillId="6" borderId="0" xfId="0" applyNumberFormat="1" applyFont="1" applyFill="1" applyBorder="1"/>
    <xf numFmtId="0" fontId="3" fillId="6" borderId="0" xfId="0" applyNumberFormat="1" applyFont="1" applyFill="1" applyBorder="1" applyAlignment="1">
      <alignment wrapText="1"/>
    </xf>
    <xf numFmtId="0" fontId="2" fillId="0" borderId="0" xfId="0" applyNumberFormat="1" applyFont="1" applyFill="1" applyBorder="1" applyAlignment="1">
      <alignment wrapText="1"/>
    </xf>
    <xf numFmtId="0" fontId="5" fillId="4" borderId="0" xfId="0" applyNumberFormat="1" applyFont="1" applyFill="1" applyBorder="1"/>
    <xf numFmtId="179" fontId="5" fillId="4" borderId="0" xfId="0" applyNumberFormat="1" applyFont="1" applyFill="1" applyBorder="1"/>
    <xf numFmtId="179" fontId="6" fillId="0" borderId="0" xfId="0" applyNumberFormat="1" applyFont="1" applyFill="1" applyBorder="1"/>
    <xf numFmtId="0" fontId="7" fillId="0" borderId="0" xfId="0" applyNumberFormat="1" applyFont="1" applyFill="1" applyBorder="1"/>
    <xf numFmtId="0" fontId="9" fillId="0" borderId="0" xfId="0" applyNumberFormat="1" applyFont="1" applyFill="1" applyBorder="1"/>
    <xf numFmtId="0" fontId="4" fillId="3" borderId="0" xfId="0" applyNumberFormat="1" applyFont="1" applyFill="1" applyBorder="1"/>
    <xf numFmtId="178" fontId="9" fillId="7" borderId="0" xfId="0" applyNumberFormat="1" applyFont="1" applyFill="1" applyBorder="1"/>
    <xf numFmtId="180" fontId="9" fillId="7" borderId="0" xfId="0" applyNumberFormat="1" applyFont="1" applyFill="1" applyBorder="1"/>
    <xf numFmtId="0" fontId="10" fillId="3" borderId="0" xfId="0" applyNumberFormat="1" applyFont="1" applyFill="1" applyBorder="1" applyAlignment="1">
      <alignment vertical="center" wrapText="1"/>
    </xf>
    <xf numFmtId="0" fontId="3" fillId="8" borderId="0" xfId="0" applyNumberFormat="1" applyFont="1" applyFill="1" applyBorder="1"/>
    <xf numFmtId="179" fontId="9" fillId="7" borderId="0" xfId="0" applyNumberFormat="1" applyFont="1" applyFill="1" applyBorder="1"/>
    <xf numFmtId="0" fontId="3" fillId="9" borderId="0" xfId="0" applyNumberFormat="1" applyFont="1" applyFill="1" applyBorder="1" applyAlignment="1">
      <alignment wrapText="1"/>
    </xf>
    <xf numFmtId="0" fontId="3" fillId="9" borderId="0" xfId="0" applyNumberFormat="1" applyFont="1" applyFill="1" applyBorder="1"/>
    <xf numFmtId="178" fontId="3" fillId="9" borderId="0" xfId="0" applyNumberFormat="1" applyFont="1" applyFill="1" applyBorder="1"/>
    <xf numFmtId="180" fontId="9" fillId="9" borderId="0" xfId="0" applyNumberFormat="1" applyFont="1" applyFill="1" applyBorder="1"/>
    <xf numFmtId="179" fontId="9" fillId="9" borderId="0" xfId="0" applyNumberFormat="1" applyFont="1" applyFill="1" applyBorder="1"/>
    <xf numFmtId="0" fontId="11" fillId="9" borderId="0" xfId="0" applyNumberFormat="1" applyFont="1" applyFill="1" applyBorder="1" applyAlignment="1">
      <alignment wrapText="1"/>
    </xf>
    <xf numFmtId="0" fontId="11" fillId="0" borderId="0" xfId="0" applyNumberFormat="1" applyFont="1" applyFill="1" applyBorder="1" applyAlignment="1">
      <alignment wrapText="1"/>
    </xf>
    <xf numFmtId="0" fontId="3" fillId="10" borderId="0" xfId="0" applyNumberFormat="1" applyFont="1" applyFill="1" applyBorder="1"/>
    <xf numFmtId="178" fontId="9" fillId="9" borderId="0" xfId="0" applyNumberFormat="1" applyFont="1" applyFill="1" applyBorder="1"/>
    <xf numFmtId="178" fontId="9" fillId="0" borderId="0" xfId="0" applyNumberFormat="1" applyFont="1" applyFill="1" applyBorder="1"/>
    <xf numFmtId="0" fontId="9" fillId="9" borderId="0" xfId="0" applyNumberFormat="1" applyFont="1" applyFill="1" applyBorder="1"/>
    <xf numFmtId="0" fontId="3" fillId="11" borderId="0" xfId="0" applyNumberFormat="1" applyFont="1" applyFill="1" applyBorder="1"/>
    <xf numFmtId="178" fontId="7" fillId="0" borderId="0" xfId="0" applyNumberFormat="1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10"/>
  <sheetViews>
    <sheetView tabSelected="1" workbookViewId="0">
      <pane xSplit="3" ySplit="17" topLeftCell="D18" activePane="bottomRight" state="frozen"/>
      <selection/>
      <selection pane="topRight"/>
      <selection pane="bottomLeft"/>
      <selection pane="bottomRight" activeCell="G8" sqref="G8"/>
    </sheetView>
  </sheetViews>
  <sheetFormatPr defaultColWidth="9" defaultRowHeight="16.8"/>
  <cols>
    <col min="1" max="1" width="8" customWidth="1"/>
    <col min="2" max="2" width="21" customWidth="1"/>
    <col min="3" max="3" width="31" customWidth="1"/>
    <col min="4" max="4" width="17" customWidth="1"/>
    <col min="5" max="5" width="55" customWidth="1"/>
    <col min="6" max="6" width="12" customWidth="1"/>
    <col min="7" max="7" width="19" customWidth="1"/>
    <col min="8" max="9" width="18" customWidth="1"/>
    <col min="10" max="12" width="15" customWidth="1"/>
    <col min="13" max="13" width="18" customWidth="1"/>
    <col min="14" max="14" width="15" customWidth="1"/>
    <col min="15" max="16" width="21" customWidth="1"/>
    <col min="17" max="17" width="14" customWidth="1"/>
    <col min="18" max="18" width="20" customWidth="1"/>
    <col min="19" max="19" width="25" customWidth="1"/>
    <col min="20" max="20" width="60" customWidth="1"/>
    <col min="21" max="21" width="67" customWidth="1"/>
  </cols>
  <sheetData>
    <row r="1" ht="22" customHeight="1" spans="1:2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2" customHeight="1" spans="1:2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ht="20" customHeight="1" spans="1:21">
      <c r="A3" s="2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ht="20" customHeight="1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ht="24" customHeight="1" spans="1:21">
      <c r="A5" s="4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ht="23" customHeight="1" spans="1:21">
      <c r="A6" s="3"/>
      <c r="B6" s="3" t="s">
        <v>3</v>
      </c>
      <c r="C6" s="24">
        <v>2030</v>
      </c>
      <c r="D6" s="3"/>
      <c r="E6" s="3" t="s">
        <v>4</v>
      </c>
      <c r="F6" s="25">
        <v>0.03</v>
      </c>
      <c r="G6" s="3"/>
      <c r="H6" s="3" t="s">
        <v>5</v>
      </c>
      <c r="I6" s="24">
        <v>586</v>
      </c>
      <c r="J6" s="3"/>
      <c r="K6" s="17" t="s">
        <v>6</v>
      </c>
      <c r="L6" s="7"/>
      <c r="M6" s="7"/>
      <c r="N6" s="7"/>
      <c r="O6" s="7"/>
      <c r="P6" s="7"/>
      <c r="Q6" s="7"/>
      <c r="R6" s="7"/>
      <c r="S6" s="7"/>
      <c r="T6" s="7"/>
      <c r="U6" s="7"/>
    </row>
    <row r="7" ht="23" customHeight="1" spans="1:21">
      <c r="A7" s="3"/>
      <c r="B7" s="3" t="s">
        <v>7</v>
      </c>
      <c r="C7" s="24">
        <v>5300</v>
      </c>
      <c r="D7" s="3"/>
      <c r="E7" s="3" t="s">
        <v>8</v>
      </c>
      <c r="F7" s="24">
        <v>14000</v>
      </c>
      <c r="G7" s="3"/>
      <c r="H7" s="3" t="s">
        <v>9</v>
      </c>
      <c r="I7" s="3" t="s">
        <v>10</v>
      </c>
      <c r="J7" s="3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ht="23" customHeight="1" spans="1:21">
      <c r="A8" s="3"/>
      <c r="B8" s="3" t="s">
        <v>11</v>
      </c>
      <c r="C8" s="24">
        <v>600</v>
      </c>
      <c r="D8" s="3"/>
      <c r="E8" s="3" t="s">
        <v>12</v>
      </c>
      <c r="F8" s="24">
        <v>900</v>
      </c>
      <c r="G8" s="3"/>
      <c r="H8" s="3" t="s">
        <v>13</v>
      </c>
      <c r="I8" s="24">
        <v>1200</v>
      </c>
      <c r="J8" s="3"/>
      <c r="K8" s="17" t="s">
        <v>14</v>
      </c>
      <c r="L8" s="7"/>
      <c r="M8" s="7"/>
      <c r="N8" s="7"/>
      <c r="O8" s="7"/>
      <c r="P8" s="7"/>
      <c r="Q8" s="7"/>
      <c r="R8" s="7"/>
      <c r="S8" s="7"/>
      <c r="T8" s="7"/>
      <c r="U8" s="7"/>
    </row>
    <row r="9" ht="23" customHeight="1" spans="1:21">
      <c r="A9" s="3"/>
      <c r="B9" s="3" t="s">
        <v>15</v>
      </c>
      <c r="C9" s="24">
        <v>100</v>
      </c>
      <c r="D9" s="3"/>
      <c r="E9" s="3" t="s">
        <v>16</v>
      </c>
      <c r="F9" s="25">
        <v>0.3</v>
      </c>
      <c r="G9" s="3"/>
      <c r="H9" s="3" t="s">
        <v>17</v>
      </c>
      <c r="I9" s="24">
        <v>1200</v>
      </c>
      <c r="J9" s="3"/>
      <c r="K9" s="7"/>
      <c r="L9" s="7"/>
      <c r="M9" s="7"/>
      <c r="N9" s="7"/>
      <c r="O9" s="7"/>
      <c r="P9" s="7"/>
      <c r="Q9" s="7"/>
      <c r="R9" s="7"/>
      <c r="S9" s="7"/>
      <c r="T9" s="7"/>
      <c r="U9" s="7"/>
    </row>
    <row r="10" ht="23" customHeight="1" spans="1:21">
      <c r="A10" s="3"/>
      <c r="B10" s="3" t="s">
        <v>18</v>
      </c>
      <c r="C10" s="24">
        <v>400</v>
      </c>
      <c r="D10" s="3"/>
      <c r="E10" s="3" t="s">
        <v>19</v>
      </c>
      <c r="F10" s="25">
        <v>0.3</v>
      </c>
      <c r="G10" s="3"/>
      <c r="H10" s="3" t="s">
        <v>17</v>
      </c>
      <c r="I10" s="24">
        <v>1200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ht="23" customHeight="1" spans="1:21">
      <c r="A11" s="3"/>
      <c r="B11" s="3" t="s">
        <v>20</v>
      </c>
      <c r="C11" s="24">
        <v>18</v>
      </c>
      <c r="D11" s="3"/>
      <c r="E11" s="3" t="s">
        <v>21</v>
      </c>
      <c r="F11" s="25">
        <v>0.23</v>
      </c>
      <c r="G11" s="3"/>
      <c r="H11" s="3" t="s">
        <v>22</v>
      </c>
      <c r="I11" s="25">
        <v>0.5</v>
      </c>
      <c r="J11" s="3"/>
      <c r="K11" s="17" t="s">
        <v>23</v>
      </c>
      <c r="L11" s="7"/>
      <c r="M11" s="7"/>
      <c r="N11" s="7"/>
      <c r="O11" s="7"/>
      <c r="P11" s="7"/>
      <c r="Q11" s="7"/>
      <c r="R11" s="7"/>
      <c r="S11" s="7"/>
      <c r="T11" s="7"/>
      <c r="U11" s="7"/>
    </row>
    <row r="12" ht="23" customHeight="1" spans="1:21">
      <c r="A12" s="3"/>
      <c r="B12" s="3" t="s">
        <v>24</v>
      </c>
      <c r="C12" s="25">
        <v>0.25</v>
      </c>
      <c r="D12" s="3"/>
      <c r="E12" s="3" t="s">
        <v>25</v>
      </c>
      <c r="F12" s="25">
        <v>0.5</v>
      </c>
      <c r="G12" s="3"/>
      <c r="H12" s="3" t="s">
        <v>26</v>
      </c>
      <c r="I12" s="25">
        <v>0.5</v>
      </c>
      <c r="J12" s="3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</row>
    <row r="13" ht="23" customHeight="1" spans="1:21">
      <c r="A13" s="3"/>
      <c r="B13" s="3" t="s">
        <v>27</v>
      </c>
      <c r="C13" s="25">
        <v>0.5</v>
      </c>
      <c r="D13" s="3"/>
      <c r="E13" s="3" t="s">
        <v>28</v>
      </c>
      <c r="F13" s="25">
        <v>0.65</v>
      </c>
      <c r="G13" s="3"/>
      <c r="H13" s="3" t="s">
        <v>29</v>
      </c>
      <c r="I13" s="25">
        <v>0.01</v>
      </c>
      <c r="J13" s="3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</row>
    <row r="14" ht="20" customHeight="1" spans="1:2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ht="24" customHeight="1" spans="1:21">
      <c r="A15" s="4" t="s">
        <v>30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</row>
    <row r="16" ht="20" customHeight="1" spans="1:2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ht="38" customHeight="1" spans="1:21">
      <c r="A17" s="26" t="s">
        <v>31</v>
      </c>
      <c r="B17" s="26" t="s">
        <v>32</v>
      </c>
      <c r="C17" s="26" t="s">
        <v>33</v>
      </c>
      <c r="D17" s="26" t="s">
        <v>34</v>
      </c>
      <c r="E17" s="26" t="s">
        <v>35</v>
      </c>
      <c r="F17" s="26" t="s">
        <v>36</v>
      </c>
      <c r="G17" s="26" t="s">
        <v>37</v>
      </c>
      <c r="H17" s="26" t="s">
        <v>38</v>
      </c>
      <c r="I17" s="26" t="s">
        <v>39</v>
      </c>
      <c r="J17" s="26" t="s">
        <v>40</v>
      </c>
      <c r="K17" s="26" t="s">
        <v>41</v>
      </c>
      <c r="L17" s="26" t="s">
        <v>42</v>
      </c>
      <c r="M17" s="26" t="s">
        <v>43</v>
      </c>
      <c r="N17" s="26" t="s">
        <v>44</v>
      </c>
      <c r="O17" s="26" t="s">
        <v>45</v>
      </c>
      <c r="P17" s="26" t="s">
        <v>46</v>
      </c>
      <c r="Q17" s="26" t="s">
        <v>47</v>
      </c>
      <c r="R17" s="26" t="s">
        <v>48</v>
      </c>
      <c r="S17" s="26" t="s">
        <v>49</v>
      </c>
      <c r="T17" s="26" t="s">
        <v>50</v>
      </c>
      <c r="U17" s="26" t="s">
        <v>51</v>
      </c>
    </row>
    <row r="18" ht="20" customHeight="1" spans="1:2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ht="29" customHeight="1" spans="1:21">
      <c r="A19" s="27" t="s">
        <v>52</v>
      </c>
      <c r="B19" s="27" t="s">
        <v>53</v>
      </c>
      <c r="C19" s="7" t="s">
        <v>54</v>
      </c>
      <c r="D19" s="7" t="s">
        <v>55</v>
      </c>
      <c r="E19" s="7" t="s">
        <v>56</v>
      </c>
      <c r="F19" s="3">
        <v>2030</v>
      </c>
      <c r="G19" s="3" t="s">
        <v>57</v>
      </c>
      <c r="H19" s="3">
        <f>I6</f>
        <v>586</v>
      </c>
      <c r="I19" s="8">
        <f t="shared" ref="I19:I49" si="0">IF(H19="","",H19*(1+$F$6)^MAX(0,$C$6-F19))</f>
        <v>586</v>
      </c>
      <c r="J19" s="25">
        <v>1</v>
      </c>
      <c r="K19" s="3">
        <f>I12</f>
        <v>0.5</v>
      </c>
      <c r="L19" s="3">
        <f>C13</f>
        <v>0.5</v>
      </c>
      <c r="M19" s="25">
        <v>1</v>
      </c>
      <c r="N19" s="3">
        <f>F13</f>
        <v>0.65</v>
      </c>
      <c r="O19" s="8">
        <f t="shared" ref="O19:O49" si="1">IF(I19="","",I19*J19*K19*L19*M19)</f>
        <v>146.5</v>
      </c>
      <c r="P19" s="8">
        <f t="shared" ref="P19:P49" si="2">IF(O19="","",O19*N19)</f>
        <v>95.225</v>
      </c>
      <c r="Q19" s="28">
        <v>0</v>
      </c>
      <c r="R19" s="8">
        <f t="shared" ref="R19:R49" si="3">IF(P19="",0,P19*Q19)</f>
        <v>0</v>
      </c>
      <c r="S19" s="7" t="s">
        <v>58</v>
      </c>
      <c r="T19" s="7" t="s">
        <v>59</v>
      </c>
      <c r="U19" s="7" t="s">
        <v>60</v>
      </c>
    </row>
    <row r="20" ht="29" customHeight="1" spans="1:21">
      <c r="A20" s="27" t="s">
        <v>61</v>
      </c>
      <c r="B20" s="27" t="s">
        <v>53</v>
      </c>
      <c r="C20" s="29" t="s">
        <v>62</v>
      </c>
      <c r="D20" s="29" t="s">
        <v>63</v>
      </c>
      <c r="E20" s="29" t="s">
        <v>64</v>
      </c>
      <c r="F20" s="30">
        <v>2030</v>
      </c>
      <c r="G20" s="30" t="s">
        <v>57</v>
      </c>
      <c r="H20" s="30">
        <f>C7</f>
        <v>5300</v>
      </c>
      <c r="I20" s="31">
        <f t="shared" si="0"/>
        <v>5300</v>
      </c>
      <c r="J20" s="32">
        <v>1</v>
      </c>
      <c r="K20" s="30">
        <f>F11</f>
        <v>0.23</v>
      </c>
      <c r="L20" s="30">
        <f>I11</f>
        <v>0.5</v>
      </c>
      <c r="M20" s="30">
        <f>C12</f>
        <v>0.25</v>
      </c>
      <c r="N20" s="30">
        <f>F12</f>
        <v>0.5</v>
      </c>
      <c r="O20" s="31">
        <f t="shared" si="1"/>
        <v>152.375</v>
      </c>
      <c r="P20" s="31">
        <f t="shared" si="2"/>
        <v>76.1875</v>
      </c>
      <c r="Q20" s="33">
        <v>1</v>
      </c>
      <c r="R20" s="31">
        <f t="shared" si="3"/>
        <v>76.1875</v>
      </c>
      <c r="S20" s="29" t="s">
        <v>65</v>
      </c>
      <c r="T20" s="29" t="s">
        <v>66</v>
      </c>
      <c r="U20" s="29" t="s">
        <v>67</v>
      </c>
    </row>
    <row r="21" ht="29" customHeight="1" spans="1:21">
      <c r="A21" s="27" t="s">
        <v>68</v>
      </c>
      <c r="B21" s="27" t="s">
        <v>53</v>
      </c>
      <c r="C21" s="7" t="s">
        <v>69</v>
      </c>
      <c r="D21" s="7" t="s">
        <v>63</v>
      </c>
      <c r="E21" s="7" t="s">
        <v>70</v>
      </c>
      <c r="F21" s="3">
        <v>2030</v>
      </c>
      <c r="G21" s="3" t="s">
        <v>71</v>
      </c>
      <c r="H21" s="3">
        <f>F7</f>
        <v>14000</v>
      </c>
      <c r="I21" s="8">
        <f t="shared" si="0"/>
        <v>14000</v>
      </c>
      <c r="J21" s="25">
        <v>1</v>
      </c>
      <c r="K21" s="3">
        <f>F11</f>
        <v>0.23</v>
      </c>
      <c r="L21" s="3">
        <f>I11</f>
        <v>0.5</v>
      </c>
      <c r="M21" s="3">
        <f>C12</f>
        <v>0.25</v>
      </c>
      <c r="N21" s="3">
        <f>F12</f>
        <v>0.5</v>
      </c>
      <c r="O21" s="8">
        <f t="shared" si="1"/>
        <v>402.5</v>
      </c>
      <c r="P21" s="8">
        <f t="shared" si="2"/>
        <v>201.25</v>
      </c>
      <c r="Q21" s="28">
        <v>0</v>
      </c>
      <c r="R21" s="8">
        <f t="shared" si="3"/>
        <v>0</v>
      </c>
      <c r="S21" s="7" t="s">
        <v>58</v>
      </c>
      <c r="T21" s="7" t="s">
        <v>72</v>
      </c>
      <c r="U21" s="7" t="s">
        <v>73</v>
      </c>
    </row>
    <row r="22" ht="29" customHeight="1" spans="1:21">
      <c r="A22" s="27" t="s">
        <v>74</v>
      </c>
      <c r="B22" s="27" t="s">
        <v>53</v>
      </c>
      <c r="C22" s="29" t="s">
        <v>75</v>
      </c>
      <c r="D22" s="29" t="s">
        <v>76</v>
      </c>
      <c r="E22" s="29" t="s">
        <v>77</v>
      </c>
      <c r="F22" s="30">
        <v>2030</v>
      </c>
      <c r="G22" s="30" t="s">
        <v>78</v>
      </c>
      <c r="H22" s="30">
        <f>C9*F9*I9/1000</f>
        <v>36</v>
      </c>
      <c r="I22" s="31">
        <f t="shared" si="0"/>
        <v>36</v>
      </c>
      <c r="J22" s="32">
        <v>1</v>
      </c>
      <c r="K22" s="32">
        <v>1</v>
      </c>
      <c r="L22" s="32">
        <v>1</v>
      </c>
      <c r="M22" s="32">
        <v>1</v>
      </c>
      <c r="N22" s="32">
        <v>1</v>
      </c>
      <c r="O22" s="31">
        <f t="shared" si="1"/>
        <v>36</v>
      </c>
      <c r="P22" s="31">
        <f t="shared" si="2"/>
        <v>36</v>
      </c>
      <c r="Q22" s="33">
        <v>0</v>
      </c>
      <c r="R22" s="31">
        <f t="shared" si="3"/>
        <v>0</v>
      </c>
      <c r="S22" s="34" t="s">
        <v>79</v>
      </c>
      <c r="T22" s="29" t="s">
        <v>80</v>
      </c>
      <c r="U22" s="29" t="s">
        <v>81</v>
      </c>
    </row>
    <row r="23" ht="29" customHeight="1" spans="1:21">
      <c r="A23" s="27" t="s">
        <v>82</v>
      </c>
      <c r="B23" s="27" t="s">
        <v>53</v>
      </c>
      <c r="C23" s="7" t="s">
        <v>83</v>
      </c>
      <c r="D23" s="7" t="s">
        <v>76</v>
      </c>
      <c r="E23" s="7" t="s">
        <v>84</v>
      </c>
      <c r="F23" s="3">
        <v>2030</v>
      </c>
      <c r="G23" s="3" t="s">
        <v>71</v>
      </c>
      <c r="H23" s="3">
        <f>C10*F10*I10/1000</f>
        <v>144</v>
      </c>
      <c r="I23" s="8">
        <f t="shared" si="0"/>
        <v>144</v>
      </c>
      <c r="J23" s="25">
        <v>1</v>
      </c>
      <c r="K23" s="25">
        <v>1</v>
      </c>
      <c r="L23" s="25">
        <v>1</v>
      </c>
      <c r="M23" s="25">
        <v>1</v>
      </c>
      <c r="N23" s="25">
        <v>1</v>
      </c>
      <c r="O23" s="8">
        <f t="shared" si="1"/>
        <v>144</v>
      </c>
      <c r="P23" s="8">
        <f t="shared" si="2"/>
        <v>144</v>
      </c>
      <c r="Q23" s="28">
        <v>0</v>
      </c>
      <c r="R23" s="8">
        <f t="shared" si="3"/>
        <v>0</v>
      </c>
      <c r="S23" s="35" t="s">
        <v>79</v>
      </c>
      <c r="T23" s="7" t="s">
        <v>85</v>
      </c>
      <c r="U23" s="7" t="s">
        <v>86</v>
      </c>
    </row>
    <row r="24" ht="29" customHeight="1" spans="1:21">
      <c r="A24" s="36" t="s">
        <v>87</v>
      </c>
      <c r="B24" s="36" t="s">
        <v>88</v>
      </c>
      <c r="C24" s="29" t="s">
        <v>89</v>
      </c>
      <c r="D24" s="29" t="s">
        <v>90</v>
      </c>
      <c r="E24" s="29" t="s">
        <v>91</v>
      </c>
      <c r="F24" s="30">
        <v>2024</v>
      </c>
      <c r="G24" s="30" t="s">
        <v>92</v>
      </c>
      <c r="H24" s="37">
        <v>567.772378</v>
      </c>
      <c r="I24" s="31">
        <f t="shared" si="0"/>
        <v>677.949911856632</v>
      </c>
      <c r="J24" s="32">
        <v>0.3298</v>
      </c>
      <c r="K24" s="32">
        <v>0.4</v>
      </c>
      <c r="L24" s="32">
        <v>0.35</v>
      </c>
      <c r="M24" s="32">
        <v>1</v>
      </c>
      <c r="N24" s="32">
        <v>0.5</v>
      </c>
      <c r="O24" s="31">
        <f t="shared" si="1"/>
        <v>31.3023033302444</v>
      </c>
      <c r="P24" s="31">
        <f t="shared" si="2"/>
        <v>15.6511516651222</v>
      </c>
      <c r="Q24" s="33">
        <v>0</v>
      </c>
      <c r="R24" s="31">
        <f t="shared" si="3"/>
        <v>0</v>
      </c>
      <c r="S24" s="29" t="s">
        <v>93</v>
      </c>
      <c r="T24" s="29" t="s">
        <v>94</v>
      </c>
      <c r="U24" s="29" t="s">
        <v>95</v>
      </c>
    </row>
    <row r="25" ht="29" customHeight="1" spans="1:21">
      <c r="A25" s="36" t="s">
        <v>96</v>
      </c>
      <c r="B25" s="36" t="s">
        <v>88</v>
      </c>
      <c r="C25" s="7" t="s">
        <v>97</v>
      </c>
      <c r="D25" s="7" t="s">
        <v>90</v>
      </c>
      <c r="E25" s="7" t="s">
        <v>98</v>
      </c>
      <c r="F25" s="3">
        <v>2024</v>
      </c>
      <c r="G25" s="3" t="s">
        <v>92</v>
      </c>
      <c r="H25" s="38">
        <v>663.500505</v>
      </c>
      <c r="I25" s="8">
        <f t="shared" si="0"/>
        <v>792.254301743401</v>
      </c>
      <c r="J25" s="25">
        <v>0.0741</v>
      </c>
      <c r="K25" s="25">
        <v>0.45</v>
      </c>
      <c r="L25" s="25">
        <v>0.35</v>
      </c>
      <c r="M25" s="25">
        <v>1</v>
      </c>
      <c r="N25" s="25">
        <v>0.5</v>
      </c>
      <c r="O25" s="8">
        <f t="shared" si="1"/>
        <v>9.2462018920718</v>
      </c>
      <c r="P25" s="8">
        <f t="shared" si="2"/>
        <v>4.6231009460359</v>
      </c>
      <c r="Q25" s="28">
        <v>0</v>
      </c>
      <c r="R25" s="8">
        <f t="shared" si="3"/>
        <v>0</v>
      </c>
      <c r="S25" s="7" t="s">
        <v>93</v>
      </c>
      <c r="T25" s="7" t="s">
        <v>99</v>
      </c>
      <c r="U25" s="7" t="s">
        <v>100</v>
      </c>
    </row>
    <row r="26" ht="29" customHeight="1" spans="1:21">
      <c r="A26" s="36" t="s">
        <v>101</v>
      </c>
      <c r="B26" s="36" t="s">
        <v>88</v>
      </c>
      <c r="C26" s="29" t="s">
        <v>102</v>
      </c>
      <c r="D26" s="29" t="s">
        <v>90</v>
      </c>
      <c r="E26" s="29" t="s">
        <v>103</v>
      </c>
      <c r="F26" s="30">
        <v>2024</v>
      </c>
      <c r="G26" s="30" t="s">
        <v>92</v>
      </c>
      <c r="H26" s="37">
        <v>414.847479</v>
      </c>
      <c r="I26" s="31">
        <f t="shared" si="0"/>
        <v>495.349585009216</v>
      </c>
      <c r="J26" s="32">
        <v>0.111</v>
      </c>
      <c r="K26" s="32">
        <v>0.5</v>
      </c>
      <c r="L26" s="32">
        <v>0.35</v>
      </c>
      <c r="M26" s="32">
        <v>1</v>
      </c>
      <c r="N26" s="32">
        <v>0.5</v>
      </c>
      <c r="O26" s="31">
        <f t="shared" si="1"/>
        <v>9.62216568880402</v>
      </c>
      <c r="P26" s="31">
        <f t="shared" si="2"/>
        <v>4.81108284440201</v>
      </c>
      <c r="Q26" s="33">
        <v>0</v>
      </c>
      <c r="R26" s="31">
        <f t="shared" si="3"/>
        <v>0</v>
      </c>
      <c r="S26" s="29" t="s">
        <v>104</v>
      </c>
      <c r="T26" s="29" t="s">
        <v>105</v>
      </c>
      <c r="U26" s="29" t="s">
        <v>106</v>
      </c>
    </row>
    <row r="27" ht="29" customHeight="1" spans="1:21">
      <c r="A27" s="36" t="s">
        <v>107</v>
      </c>
      <c r="B27" s="36" t="s">
        <v>88</v>
      </c>
      <c r="C27" s="7" t="s">
        <v>108</v>
      </c>
      <c r="D27" s="7" t="s">
        <v>90</v>
      </c>
      <c r="E27" s="7" t="s">
        <v>109</v>
      </c>
      <c r="F27" s="3">
        <v>2024</v>
      </c>
      <c r="G27" s="3" t="s">
        <v>92</v>
      </c>
      <c r="H27" s="38">
        <v>396.915313</v>
      </c>
      <c r="I27" s="8">
        <f t="shared" si="0"/>
        <v>473.937641015177</v>
      </c>
      <c r="J27" s="25">
        <v>0.111</v>
      </c>
      <c r="K27" s="25">
        <v>0.4</v>
      </c>
      <c r="L27" s="25">
        <v>0.35</v>
      </c>
      <c r="M27" s="25">
        <v>1</v>
      </c>
      <c r="N27" s="25">
        <v>0.5</v>
      </c>
      <c r="O27" s="8">
        <f t="shared" si="1"/>
        <v>7.36499094137585</v>
      </c>
      <c r="P27" s="8">
        <f t="shared" si="2"/>
        <v>3.68249547068792</v>
      </c>
      <c r="Q27" s="28">
        <v>0</v>
      </c>
      <c r="R27" s="8">
        <f t="shared" si="3"/>
        <v>0</v>
      </c>
      <c r="S27" s="7" t="s">
        <v>104</v>
      </c>
      <c r="T27" s="7" t="s">
        <v>110</v>
      </c>
      <c r="U27" s="7" t="s">
        <v>111</v>
      </c>
    </row>
    <row r="28" ht="29" customHeight="1" spans="1:21">
      <c r="A28" s="36" t="s">
        <v>112</v>
      </c>
      <c r="B28" s="36" t="s">
        <v>88</v>
      </c>
      <c r="C28" s="29" t="s">
        <v>113</v>
      </c>
      <c r="D28" s="29" t="s">
        <v>90</v>
      </c>
      <c r="E28" s="29" t="s">
        <v>114</v>
      </c>
      <c r="F28" s="30">
        <v>2024</v>
      </c>
      <c r="G28" s="30" t="s">
        <v>92</v>
      </c>
      <c r="H28" s="37">
        <v>69.402338</v>
      </c>
      <c r="I28" s="31">
        <f t="shared" si="0"/>
        <v>82.8700210733819</v>
      </c>
      <c r="J28" s="32">
        <v>0.1007</v>
      </c>
      <c r="K28" s="32">
        <v>0.5</v>
      </c>
      <c r="L28" s="32">
        <v>0.35</v>
      </c>
      <c r="M28" s="32">
        <v>1</v>
      </c>
      <c r="N28" s="32">
        <v>0.5</v>
      </c>
      <c r="O28" s="31">
        <f t="shared" si="1"/>
        <v>1.46037694636567</v>
      </c>
      <c r="P28" s="31">
        <f t="shared" si="2"/>
        <v>0.730188473182836</v>
      </c>
      <c r="Q28" s="33">
        <v>0</v>
      </c>
      <c r="R28" s="31">
        <f t="shared" si="3"/>
        <v>0</v>
      </c>
      <c r="S28" s="29" t="s">
        <v>93</v>
      </c>
      <c r="T28" s="29" t="s">
        <v>115</v>
      </c>
      <c r="U28" s="29" t="s">
        <v>116</v>
      </c>
    </row>
    <row r="29" ht="29" customHeight="1" spans="1:21">
      <c r="A29" s="36" t="s">
        <v>117</v>
      </c>
      <c r="B29" s="36" t="s">
        <v>88</v>
      </c>
      <c r="C29" s="7" t="s">
        <v>118</v>
      </c>
      <c r="D29" s="7" t="s">
        <v>90</v>
      </c>
      <c r="E29" s="7" t="s">
        <v>119</v>
      </c>
      <c r="F29" s="3">
        <v>2024</v>
      </c>
      <c r="G29" s="3" t="s">
        <v>120</v>
      </c>
      <c r="H29" s="22"/>
      <c r="I29" s="8" t="str">
        <f t="shared" si="0"/>
        <v/>
      </c>
      <c r="J29" s="25">
        <v>0.11</v>
      </c>
      <c r="K29" s="25">
        <v>0.4</v>
      </c>
      <c r="L29" s="25">
        <v>0.3</v>
      </c>
      <c r="M29" s="25">
        <v>1</v>
      </c>
      <c r="N29" s="25">
        <v>0.5</v>
      </c>
      <c r="O29" s="8" t="str">
        <f t="shared" si="1"/>
        <v/>
      </c>
      <c r="P29" s="8" t="str">
        <f t="shared" si="2"/>
        <v/>
      </c>
      <c r="Q29" s="28">
        <v>0</v>
      </c>
      <c r="R29" s="8">
        <f t="shared" si="3"/>
        <v>0</v>
      </c>
      <c r="S29" s="35" t="s">
        <v>121</v>
      </c>
      <c r="T29" s="7" t="s">
        <v>122</v>
      </c>
      <c r="U29" s="7" t="s">
        <v>123</v>
      </c>
    </row>
    <row r="30" ht="29" customHeight="1" spans="1:21">
      <c r="A30" s="36" t="s">
        <v>124</v>
      </c>
      <c r="B30" s="36" t="s">
        <v>88</v>
      </c>
      <c r="C30" s="29" t="s">
        <v>125</v>
      </c>
      <c r="D30" s="29" t="s">
        <v>90</v>
      </c>
      <c r="E30" s="29" t="s">
        <v>126</v>
      </c>
      <c r="F30" s="30">
        <v>2024</v>
      </c>
      <c r="G30" s="30" t="s">
        <v>120</v>
      </c>
      <c r="H30" s="39"/>
      <c r="I30" s="31" t="str">
        <f t="shared" si="0"/>
        <v/>
      </c>
      <c r="J30" s="32">
        <v>0.11</v>
      </c>
      <c r="K30" s="32">
        <v>0.5</v>
      </c>
      <c r="L30" s="32">
        <v>0.35</v>
      </c>
      <c r="M30" s="32">
        <v>1</v>
      </c>
      <c r="N30" s="32">
        <v>0.5</v>
      </c>
      <c r="O30" s="31" t="str">
        <f t="shared" si="1"/>
        <v/>
      </c>
      <c r="P30" s="31" t="str">
        <f t="shared" si="2"/>
        <v/>
      </c>
      <c r="Q30" s="33">
        <v>0</v>
      </c>
      <c r="R30" s="31">
        <f t="shared" si="3"/>
        <v>0</v>
      </c>
      <c r="S30" s="34" t="s">
        <v>121</v>
      </c>
      <c r="T30" s="29" t="s">
        <v>122</v>
      </c>
      <c r="U30" s="29" t="s">
        <v>127</v>
      </c>
    </row>
    <row r="31" ht="29" customHeight="1" spans="1:21">
      <c r="A31" s="36" t="s">
        <v>128</v>
      </c>
      <c r="B31" s="36" t="s">
        <v>88</v>
      </c>
      <c r="C31" s="7" t="s">
        <v>129</v>
      </c>
      <c r="D31" s="7" t="s">
        <v>90</v>
      </c>
      <c r="E31" s="7" t="s">
        <v>130</v>
      </c>
      <c r="F31" s="3">
        <v>2024</v>
      </c>
      <c r="G31" s="3" t="s">
        <v>120</v>
      </c>
      <c r="H31" s="22"/>
      <c r="I31" s="8" t="str">
        <f t="shared" si="0"/>
        <v/>
      </c>
      <c r="J31" s="25">
        <v>0.11</v>
      </c>
      <c r="K31" s="25">
        <v>0.4</v>
      </c>
      <c r="L31" s="25">
        <v>0.35</v>
      </c>
      <c r="M31" s="25">
        <v>1</v>
      </c>
      <c r="N31" s="25">
        <v>0.5</v>
      </c>
      <c r="O31" s="8" t="str">
        <f t="shared" si="1"/>
        <v/>
      </c>
      <c r="P31" s="8" t="str">
        <f t="shared" si="2"/>
        <v/>
      </c>
      <c r="Q31" s="28">
        <v>0</v>
      </c>
      <c r="R31" s="8">
        <f t="shared" si="3"/>
        <v>0</v>
      </c>
      <c r="S31" s="35" t="s">
        <v>121</v>
      </c>
      <c r="T31" s="7" t="s">
        <v>122</v>
      </c>
      <c r="U31" s="7" t="s">
        <v>131</v>
      </c>
    </row>
    <row r="32" ht="29" customHeight="1" spans="1:21">
      <c r="A32" s="36" t="s">
        <v>132</v>
      </c>
      <c r="B32" s="36" t="s">
        <v>88</v>
      </c>
      <c r="C32" s="29" t="s">
        <v>133</v>
      </c>
      <c r="D32" s="29" t="s">
        <v>90</v>
      </c>
      <c r="E32" s="29" t="s">
        <v>134</v>
      </c>
      <c r="F32" s="30">
        <v>2024</v>
      </c>
      <c r="G32" s="30" t="s">
        <v>120</v>
      </c>
      <c r="H32" s="39"/>
      <c r="I32" s="31" t="str">
        <f t="shared" si="0"/>
        <v/>
      </c>
      <c r="J32" s="32">
        <v>0.18</v>
      </c>
      <c r="K32" s="32">
        <v>0.45</v>
      </c>
      <c r="L32" s="32">
        <v>0.35</v>
      </c>
      <c r="M32" s="32">
        <v>1</v>
      </c>
      <c r="N32" s="32">
        <v>0.5</v>
      </c>
      <c r="O32" s="31" t="str">
        <f t="shared" si="1"/>
        <v/>
      </c>
      <c r="P32" s="31" t="str">
        <f t="shared" si="2"/>
        <v/>
      </c>
      <c r="Q32" s="33">
        <v>0</v>
      </c>
      <c r="R32" s="31">
        <f t="shared" si="3"/>
        <v>0</v>
      </c>
      <c r="S32" s="34" t="s">
        <v>121</v>
      </c>
      <c r="T32" s="29" t="s">
        <v>122</v>
      </c>
      <c r="U32" s="29" t="s">
        <v>135</v>
      </c>
    </row>
    <row r="33" ht="29" customHeight="1" spans="1:21">
      <c r="A33" s="36" t="s">
        <v>136</v>
      </c>
      <c r="B33" s="36" t="s">
        <v>88</v>
      </c>
      <c r="C33" s="7" t="s">
        <v>137</v>
      </c>
      <c r="D33" s="7" t="s">
        <v>90</v>
      </c>
      <c r="E33" s="7" t="s">
        <v>138</v>
      </c>
      <c r="F33" s="3">
        <v>2024</v>
      </c>
      <c r="G33" s="3" t="s">
        <v>120</v>
      </c>
      <c r="H33" s="22"/>
      <c r="I33" s="8" t="str">
        <f t="shared" si="0"/>
        <v/>
      </c>
      <c r="J33" s="25">
        <v>0.14</v>
      </c>
      <c r="K33" s="25">
        <v>0.35</v>
      </c>
      <c r="L33" s="25">
        <v>0.3</v>
      </c>
      <c r="M33" s="25">
        <v>1</v>
      </c>
      <c r="N33" s="25">
        <v>0.5</v>
      </c>
      <c r="O33" s="8" t="str">
        <f t="shared" si="1"/>
        <v/>
      </c>
      <c r="P33" s="8" t="str">
        <f t="shared" si="2"/>
        <v/>
      </c>
      <c r="Q33" s="28">
        <v>0</v>
      </c>
      <c r="R33" s="8">
        <f t="shared" si="3"/>
        <v>0</v>
      </c>
      <c r="S33" s="35" t="s">
        <v>121</v>
      </c>
      <c r="T33" s="7" t="s">
        <v>122</v>
      </c>
      <c r="U33" s="7" t="s">
        <v>139</v>
      </c>
    </row>
    <row r="34" ht="29" customHeight="1" spans="1:21">
      <c r="A34" s="36" t="s">
        <v>140</v>
      </c>
      <c r="B34" s="36" t="s">
        <v>88</v>
      </c>
      <c r="C34" s="29" t="s">
        <v>141</v>
      </c>
      <c r="D34" s="29" t="s">
        <v>90</v>
      </c>
      <c r="E34" s="29" t="s">
        <v>142</v>
      </c>
      <c r="F34" s="30">
        <v>2024</v>
      </c>
      <c r="G34" s="30" t="s">
        <v>120</v>
      </c>
      <c r="H34" s="39"/>
      <c r="I34" s="31" t="str">
        <f t="shared" si="0"/>
        <v/>
      </c>
      <c r="J34" s="32">
        <v>0.11</v>
      </c>
      <c r="K34" s="32">
        <v>0.3</v>
      </c>
      <c r="L34" s="32">
        <v>0.25</v>
      </c>
      <c r="M34" s="32">
        <v>1</v>
      </c>
      <c r="N34" s="32">
        <v>0.5</v>
      </c>
      <c r="O34" s="31" t="str">
        <f t="shared" si="1"/>
        <v/>
      </c>
      <c r="P34" s="31" t="str">
        <f t="shared" si="2"/>
        <v/>
      </c>
      <c r="Q34" s="33">
        <v>0</v>
      </c>
      <c r="R34" s="31">
        <f t="shared" si="3"/>
        <v>0</v>
      </c>
      <c r="S34" s="34" t="s">
        <v>121</v>
      </c>
      <c r="T34" s="29" t="s">
        <v>122</v>
      </c>
      <c r="U34" s="29" t="s">
        <v>143</v>
      </c>
    </row>
    <row r="35" ht="29" customHeight="1" spans="1:21">
      <c r="A35" s="36" t="s">
        <v>144</v>
      </c>
      <c r="B35" s="36" t="s">
        <v>88</v>
      </c>
      <c r="C35" s="7" t="s">
        <v>145</v>
      </c>
      <c r="D35" s="7" t="s">
        <v>146</v>
      </c>
      <c r="E35" s="7" t="s">
        <v>147</v>
      </c>
      <c r="F35" s="3">
        <v>2030</v>
      </c>
      <c r="G35" s="3" t="s">
        <v>148</v>
      </c>
      <c r="H35" s="22"/>
      <c r="I35" s="8" t="str">
        <f t="shared" si="0"/>
        <v/>
      </c>
      <c r="J35" s="25">
        <v>1</v>
      </c>
      <c r="K35" s="25">
        <v>0.3</v>
      </c>
      <c r="L35" s="25">
        <v>0.3</v>
      </c>
      <c r="M35" s="25">
        <v>0.1</v>
      </c>
      <c r="N35" s="25">
        <v>0.5</v>
      </c>
      <c r="O35" s="8" t="str">
        <f t="shared" si="1"/>
        <v/>
      </c>
      <c r="P35" s="8" t="str">
        <f t="shared" si="2"/>
        <v/>
      </c>
      <c r="Q35" s="28">
        <v>0</v>
      </c>
      <c r="R35" s="8">
        <f t="shared" si="3"/>
        <v>0</v>
      </c>
      <c r="S35" s="35" t="s">
        <v>149</v>
      </c>
      <c r="T35" s="7" t="s">
        <v>150</v>
      </c>
      <c r="U35" s="7" t="s">
        <v>151</v>
      </c>
    </row>
    <row r="36" ht="29" customHeight="1" spans="1:21">
      <c r="A36" s="36" t="s">
        <v>152</v>
      </c>
      <c r="B36" s="36" t="s">
        <v>88</v>
      </c>
      <c r="C36" s="29" t="s">
        <v>153</v>
      </c>
      <c r="D36" s="29" t="s">
        <v>146</v>
      </c>
      <c r="E36" s="29" t="s">
        <v>154</v>
      </c>
      <c r="F36" s="30">
        <v>2030</v>
      </c>
      <c r="G36" s="30" t="s">
        <v>148</v>
      </c>
      <c r="H36" s="39"/>
      <c r="I36" s="31" t="str">
        <f t="shared" si="0"/>
        <v/>
      </c>
      <c r="J36" s="32">
        <v>1</v>
      </c>
      <c r="K36" s="32">
        <v>0.3</v>
      </c>
      <c r="L36" s="32">
        <v>0.25</v>
      </c>
      <c r="M36" s="32">
        <v>0.08</v>
      </c>
      <c r="N36" s="32">
        <v>0.5</v>
      </c>
      <c r="O36" s="31" t="str">
        <f t="shared" si="1"/>
        <v/>
      </c>
      <c r="P36" s="31" t="str">
        <f t="shared" si="2"/>
        <v/>
      </c>
      <c r="Q36" s="33">
        <v>0</v>
      </c>
      <c r="R36" s="31">
        <f t="shared" si="3"/>
        <v>0</v>
      </c>
      <c r="S36" s="34" t="s">
        <v>149</v>
      </c>
      <c r="T36" s="29" t="s">
        <v>155</v>
      </c>
      <c r="U36" s="29" t="s">
        <v>156</v>
      </c>
    </row>
    <row r="37" ht="29" customHeight="1" spans="1:21">
      <c r="A37" s="36" t="s">
        <v>157</v>
      </c>
      <c r="B37" s="36" t="s">
        <v>88</v>
      </c>
      <c r="C37" s="7" t="s">
        <v>158</v>
      </c>
      <c r="D37" s="7" t="s">
        <v>146</v>
      </c>
      <c r="E37" s="7" t="s">
        <v>159</v>
      </c>
      <c r="F37" s="3">
        <v>2030</v>
      </c>
      <c r="G37" s="3" t="s">
        <v>148</v>
      </c>
      <c r="H37" s="22"/>
      <c r="I37" s="8" t="str">
        <f t="shared" si="0"/>
        <v/>
      </c>
      <c r="J37" s="25">
        <v>1</v>
      </c>
      <c r="K37" s="25">
        <v>0.3</v>
      </c>
      <c r="L37" s="25">
        <v>0.25</v>
      </c>
      <c r="M37" s="25">
        <v>0.07</v>
      </c>
      <c r="N37" s="25">
        <v>0.5</v>
      </c>
      <c r="O37" s="8" t="str">
        <f t="shared" si="1"/>
        <v/>
      </c>
      <c r="P37" s="8" t="str">
        <f t="shared" si="2"/>
        <v/>
      </c>
      <c r="Q37" s="28">
        <v>0</v>
      </c>
      <c r="R37" s="8">
        <f t="shared" si="3"/>
        <v>0</v>
      </c>
      <c r="S37" s="35" t="s">
        <v>149</v>
      </c>
      <c r="T37" s="7" t="s">
        <v>160</v>
      </c>
      <c r="U37" s="7" t="s">
        <v>161</v>
      </c>
    </row>
    <row r="38" ht="29" customHeight="1" spans="1:21">
      <c r="A38" s="40" t="s">
        <v>162</v>
      </c>
      <c r="B38" s="40" t="s">
        <v>163</v>
      </c>
      <c r="C38" s="29" t="s">
        <v>164</v>
      </c>
      <c r="D38" s="29" t="s">
        <v>165</v>
      </c>
      <c r="E38" s="29" t="s">
        <v>166</v>
      </c>
      <c r="F38" s="30">
        <v>2030</v>
      </c>
      <c r="G38" s="30" t="s">
        <v>167</v>
      </c>
      <c r="H38" s="30">
        <f>C11</f>
        <v>18</v>
      </c>
      <c r="I38" s="31">
        <f t="shared" si="0"/>
        <v>18</v>
      </c>
      <c r="J38" s="32">
        <v>1</v>
      </c>
      <c r="K38" s="32">
        <v>1</v>
      </c>
      <c r="L38" s="32">
        <v>1</v>
      </c>
      <c r="M38" s="32">
        <v>1</v>
      </c>
      <c r="N38" s="32">
        <v>1</v>
      </c>
      <c r="O38" s="31">
        <f t="shared" si="1"/>
        <v>18</v>
      </c>
      <c r="P38" s="31">
        <f t="shared" si="2"/>
        <v>18</v>
      </c>
      <c r="Q38" s="33">
        <v>1</v>
      </c>
      <c r="R38" s="31">
        <f t="shared" si="3"/>
        <v>18</v>
      </c>
      <c r="S38" s="34" t="s">
        <v>168</v>
      </c>
      <c r="T38" s="29" t="s">
        <v>169</v>
      </c>
      <c r="U38" s="29" t="s">
        <v>170</v>
      </c>
    </row>
    <row r="39" ht="29" customHeight="1" spans="1:21">
      <c r="A39" s="40" t="s">
        <v>171</v>
      </c>
      <c r="B39" s="40" t="s">
        <v>163</v>
      </c>
      <c r="C39" s="7" t="s">
        <v>172</v>
      </c>
      <c r="D39" s="7" t="s">
        <v>173</v>
      </c>
      <c r="E39" s="7" t="s">
        <v>174</v>
      </c>
      <c r="F39" s="3">
        <v>2025</v>
      </c>
      <c r="G39" s="3" t="s">
        <v>92</v>
      </c>
      <c r="H39" s="38">
        <v>427.604</v>
      </c>
      <c r="I39" s="8">
        <f t="shared" si="0"/>
        <v>495.710231266977</v>
      </c>
      <c r="J39" s="25">
        <v>1</v>
      </c>
      <c r="K39" s="25">
        <v>1</v>
      </c>
      <c r="L39" s="25">
        <v>1</v>
      </c>
      <c r="M39" s="3">
        <f>I13</f>
        <v>0.01</v>
      </c>
      <c r="N39" s="25">
        <v>0.25</v>
      </c>
      <c r="O39" s="8">
        <f t="shared" si="1"/>
        <v>4.95710231266977</v>
      </c>
      <c r="P39" s="8">
        <f t="shared" si="2"/>
        <v>1.23927557816744</v>
      </c>
      <c r="Q39" s="28">
        <v>0</v>
      </c>
      <c r="R39" s="8">
        <f t="shared" si="3"/>
        <v>0</v>
      </c>
      <c r="S39" s="7" t="s">
        <v>175</v>
      </c>
      <c r="T39" s="7" t="s">
        <v>176</v>
      </c>
      <c r="U39" s="7" t="s">
        <v>177</v>
      </c>
    </row>
    <row r="40" ht="29" customHeight="1" spans="1:21">
      <c r="A40" s="40" t="s">
        <v>178</v>
      </c>
      <c r="B40" s="40" t="s">
        <v>163</v>
      </c>
      <c r="C40" s="29" t="s">
        <v>179</v>
      </c>
      <c r="D40" s="29" t="s">
        <v>180</v>
      </c>
      <c r="E40" s="29" t="s">
        <v>181</v>
      </c>
      <c r="F40" s="30">
        <v>2025</v>
      </c>
      <c r="G40" s="30" t="s">
        <v>182</v>
      </c>
      <c r="H40" s="39"/>
      <c r="I40" s="31" t="str">
        <f t="shared" si="0"/>
        <v/>
      </c>
      <c r="J40" s="32">
        <v>1</v>
      </c>
      <c r="K40" s="32">
        <v>0.2</v>
      </c>
      <c r="L40" s="32">
        <v>0.3</v>
      </c>
      <c r="M40" s="32">
        <v>0.1</v>
      </c>
      <c r="N40" s="32">
        <v>0.25</v>
      </c>
      <c r="O40" s="31" t="str">
        <f t="shared" si="1"/>
        <v/>
      </c>
      <c r="P40" s="31" t="str">
        <f t="shared" si="2"/>
        <v/>
      </c>
      <c r="Q40" s="33">
        <v>0</v>
      </c>
      <c r="R40" s="31">
        <f t="shared" si="3"/>
        <v>0</v>
      </c>
      <c r="S40" s="34" t="s">
        <v>183</v>
      </c>
      <c r="T40" s="29" t="s">
        <v>184</v>
      </c>
      <c r="U40" s="29" t="s">
        <v>185</v>
      </c>
    </row>
    <row r="41" ht="29" customHeight="1" spans="1:21">
      <c r="A41" s="40" t="s">
        <v>186</v>
      </c>
      <c r="B41" s="40" t="s">
        <v>163</v>
      </c>
      <c r="C41" s="7" t="s">
        <v>187</v>
      </c>
      <c r="D41" s="7" t="s">
        <v>165</v>
      </c>
      <c r="E41" s="7" t="s">
        <v>188</v>
      </c>
      <c r="F41" s="3">
        <v>2030</v>
      </c>
      <c r="G41" s="3" t="s">
        <v>148</v>
      </c>
      <c r="H41" s="22"/>
      <c r="I41" s="8" t="str">
        <f t="shared" si="0"/>
        <v/>
      </c>
      <c r="J41" s="25">
        <v>1</v>
      </c>
      <c r="K41" s="25">
        <v>0.35</v>
      </c>
      <c r="L41" s="25">
        <v>0.3</v>
      </c>
      <c r="M41" s="25">
        <v>0.2</v>
      </c>
      <c r="N41" s="25">
        <v>0.7</v>
      </c>
      <c r="O41" s="8" t="str">
        <f t="shared" si="1"/>
        <v/>
      </c>
      <c r="P41" s="8" t="str">
        <f t="shared" si="2"/>
        <v/>
      </c>
      <c r="Q41" s="28">
        <v>0</v>
      </c>
      <c r="R41" s="8">
        <f t="shared" si="3"/>
        <v>0</v>
      </c>
      <c r="S41" s="35" t="s">
        <v>189</v>
      </c>
      <c r="T41" s="7" t="s">
        <v>184</v>
      </c>
      <c r="U41" s="7" t="s">
        <v>190</v>
      </c>
    </row>
    <row r="42" ht="29" customHeight="1" spans="1:21">
      <c r="A42" s="40" t="s">
        <v>191</v>
      </c>
      <c r="B42" s="40" t="s">
        <v>163</v>
      </c>
      <c r="C42" s="29" t="s">
        <v>192</v>
      </c>
      <c r="D42" s="29" t="s">
        <v>165</v>
      </c>
      <c r="E42" s="29" t="s">
        <v>193</v>
      </c>
      <c r="F42" s="30">
        <v>2030</v>
      </c>
      <c r="G42" s="30" t="s">
        <v>148</v>
      </c>
      <c r="H42" s="39"/>
      <c r="I42" s="31" t="str">
        <f t="shared" si="0"/>
        <v/>
      </c>
      <c r="J42" s="32">
        <v>1</v>
      </c>
      <c r="K42" s="32">
        <v>0.3</v>
      </c>
      <c r="L42" s="32">
        <v>0.25</v>
      </c>
      <c r="M42" s="32">
        <v>0.2</v>
      </c>
      <c r="N42" s="32">
        <v>0.65</v>
      </c>
      <c r="O42" s="31" t="str">
        <f t="shared" si="1"/>
        <v/>
      </c>
      <c r="P42" s="31" t="str">
        <f t="shared" si="2"/>
        <v/>
      </c>
      <c r="Q42" s="33">
        <v>0</v>
      </c>
      <c r="R42" s="31">
        <f t="shared" si="3"/>
        <v>0</v>
      </c>
      <c r="S42" s="34" t="s">
        <v>189</v>
      </c>
      <c r="T42" s="29" t="s">
        <v>184</v>
      </c>
      <c r="U42" s="29" t="s">
        <v>194</v>
      </c>
    </row>
    <row r="43" ht="29" customHeight="1" spans="1:21">
      <c r="A43" s="40" t="s">
        <v>195</v>
      </c>
      <c r="B43" s="40" t="s">
        <v>163</v>
      </c>
      <c r="C43" s="7" t="s">
        <v>196</v>
      </c>
      <c r="D43" s="7" t="s">
        <v>197</v>
      </c>
      <c r="E43" s="7" t="s">
        <v>198</v>
      </c>
      <c r="F43" s="3">
        <v>2030</v>
      </c>
      <c r="G43" s="3" t="s">
        <v>148</v>
      </c>
      <c r="H43" s="22"/>
      <c r="I43" s="8" t="str">
        <f t="shared" si="0"/>
        <v/>
      </c>
      <c r="J43" s="25">
        <v>1</v>
      </c>
      <c r="K43" s="25">
        <v>0.3</v>
      </c>
      <c r="L43" s="25">
        <v>0.3</v>
      </c>
      <c r="M43" s="25">
        <v>0.1</v>
      </c>
      <c r="N43" s="25">
        <v>0.5</v>
      </c>
      <c r="O43" s="8" t="str">
        <f t="shared" si="1"/>
        <v/>
      </c>
      <c r="P43" s="8" t="str">
        <f t="shared" si="2"/>
        <v/>
      </c>
      <c r="Q43" s="28">
        <v>0</v>
      </c>
      <c r="R43" s="8">
        <f t="shared" si="3"/>
        <v>0</v>
      </c>
      <c r="S43" s="35" t="s">
        <v>199</v>
      </c>
      <c r="T43" s="7" t="s">
        <v>184</v>
      </c>
      <c r="U43" s="7" t="s">
        <v>200</v>
      </c>
    </row>
    <row r="44" ht="29" customHeight="1" spans="1:21">
      <c r="A44" s="40" t="s">
        <v>201</v>
      </c>
      <c r="B44" s="40" t="s">
        <v>163</v>
      </c>
      <c r="C44" s="29" t="s">
        <v>202</v>
      </c>
      <c r="D44" s="29" t="s">
        <v>203</v>
      </c>
      <c r="E44" s="29" t="s">
        <v>204</v>
      </c>
      <c r="F44" s="30">
        <v>2030</v>
      </c>
      <c r="G44" s="30" t="s">
        <v>148</v>
      </c>
      <c r="H44" s="39"/>
      <c r="I44" s="31" t="str">
        <f t="shared" si="0"/>
        <v/>
      </c>
      <c r="J44" s="32">
        <v>1</v>
      </c>
      <c r="K44" s="32">
        <v>0.3</v>
      </c>
      <c r="L44" s="32">
        <v>0.3</v>
      </c>
      <c r="M44" s="32">
        <v>0.02</v>
      </c>
      <c r="N44" s="32">
        <v>0.5</v>
      </c>
      <c r="O44" s="31" t="str">
        <f t="shared" si="1"/>
        <v/>
      </c>
      <c r="P44" s="31" t="str">
        <f t="shared" si="2"/>
        <v/>
      </c>
      <c r="Q44" s="33">
        <v>0</v>
      </c>
      <c r="R44" s="31">
        <f t="shared" si="3"/>
        <v>0</v>
      </c>
      <c r="S44" s="34" t="s">
        <v>205</v>
      </c>
      <c r="T44" s="29" t="s">
        <v>206</v>
      </c>
      <c r="U44" s="29" t="s">
        <v>207</v>
      </c>
    </row>
    <row r="45" ht="29" customHeight="1" spans="1:21">
      <c r="A45" s="40" t="s">
        <v>208</v>
      </c>
      <c r="B45" s="40" t="s">
        <v>163</v>
      </c>
      <c r="C45" s="7" t="s">
        <v>209</v>
      </c>
      <c r="D45" s="7" t="s">
        <v>165</v>
      </c>
      <c r="E45" s="7" t="s">
        <v>210</v>
      </c>
      <c r="F45" s="3">
        <v>2030</v>
      </c>
      <c r="G45" s="3" t="s">
        <v>148</v>
      </c>
      <c r="H45" s="22"/>
      <c r="I45" s="8" t="str">
        <f t="shared" si="0"/>
        <v/>
      </c>
      <c r="J45" s="25">
        <v>1</v>
      </c>
      <c r="K45" s="25">
        <v>0.4</v>
      </c>
      <c r="L45" s="25">
        <v>0.3</v>
      </c>
      <c r="M45" s="25">
        <v>0.1</v>
      </c>
      <c r="N45" s="25">
        <v>0.7</v>
      </c>
      <c r="O45" s="8" t="str">
        <f t="shared" si="1"/>
        <v/>
      </c>
      <c r="P45" s="8" t="str">
        <f t="shared" si="2"/>
        <v/>
      </c>
      <c r="Q45" s="28">
        <v>0</v>
      </c>
      <c r="R45" s="8">
        <f t="shared" si="3"/>
        <v>0</v>
      </c>
      <c r="S45" s="35" t="s">
        <v>211</v>
      </c>
      <c r="T45" s="7" t="s">
        <v>184</v>
      </c>
      <c r="U45" s="7" t="s">
        <v>212</v>
      </c>
    </row>
    <row r="46" ht="29" customHeight="1" spans="1:21">
      <c r="A46" s="40" t="s">
        <v>213</v>
      </c>
      <c r="B46" s="40" t="s">
        <v>163</v>
      </c>
      <c r="C46" s="29" t="s">
        <v>214</v>
      </c>
      <c r="D46" s="29" t="s">
        <v>180</v>
      </c>
      <c r="E46" s="29" t="s">
        <v>215</v>
      </c>
      <c r="F46" s="30">
        <v>2030</v>
      </c>
      <c r="G46" s="30" t="s">
        <v>148</v>
      </c>
      <c r="H46" s="39"/>
      <c r="I46" s="31" t="str">
        <f t="shared" si="0"/>
        <v/>
      </c>
      <c r="J46" s="32">
        <v>1</v>
      </c>
      <c r="K46" s="32">
        <v>0.1</v>
      </c>
      <c r="L46" s="32">
        <v>0.1</v>
      </c>
      <c r="M46" s="32">
        <v>0.04</v>
      </c>
      <c r="N46" s="32">
        <v>0.4</v>
      </c>
      <c r="O46" s="31" t="str">
        <f t="shared" si="1"/>
        <v/>
      </c>
      <c r="P46" s="31" t="str">
        <f t="shared" si="2"/>
        <v/>
      </c>
      <c r="Q46" s="33">
        <v>0</v>
      </c>
      <c r="R46" s="31">
        <f t="shared" si="3"/>
        <v>0</v>
      </c>
      <c r="S46" s="34" t="s">
        <v>216</v>
      </c>
      <c r="T46" s="29" t="s">
        <v>150</v>
      </c>
      <c r="U46" s="29" t="s">
        <v>217</v>
      </c>
    </row>
    <row r="47" ht="29" customHeight="1" spans="1:21">
      <c r="A47" s="40" t="s">
        <v>218</v>
      </c>
      <c r="B47" s="40" t="s">
        <v>163</v>
      </c>
      <c r="C47" s="7" t="s">
        <v>219</v>
      </c>
      <c r="D47" s="7" t="s">
        <v>203</v>
      </c>
      <c r="E47" s="7" t="s">
        <v>220</v>
      </c>
      <c r="F47" s="3">
        <v>2030</v>
      </c>
      <c r="G47" s="3" t="s">
        <v>148</v>
      </c>
      <c r="H47" s="22"/>
      <c r="I47" s="8" t="str">
        <f t="shared" si="0"/>
        <v/>
      </c>
      <c r="J47" s="25">
        <v>1</v>
      </c>
      <c r="K47" s="25">
        <v>0.3</v>
      </c>
      <c r="L47" s="25">
        <v>0.2</v>
      </c>
      <c r="M47" s="25">
        <v>0.02</v>
      </c>
      <c r="N47" s="25">
        <v>0.5</v>
      </c>
      <c r="O47" s="8" t="str">
        <f t="shared" si="1"/>
        <v/>
      </c>
      <c r="P47" s="8" t="str">
        <f t="shared" si="2"/>
        <v/>
      </c>
      <c r="Q47" s="28">
        <v>0</v>
      </c>
      <c r="R47" s="8">
        <f t="shared" si="3"/>
        <v>0</v>
      </c>
      <c r="S47" s="35" t="s">
        <v>221</v>
      </c>
      <c r="T47" s="7" t="s">
        <v>184</v>
      </c>
      <c r="U47" s="7" t="s">
        <v>222</v>
      </c>
    </row>
    <row r="48" ht="29" customHeight="1" spans="1:21">
      <c r="A48" s="40" t="s">
        <v>223</v>
      </c>
      <c r="B48" s="40" t="s">
        <v>163</v>
      </c>
      <c r="C48" s="29" t="s">
        <v>224</v>
      </c>
      <c r="D48" s="29" t="s">
        <v>180</v>
      </c>
      <c r="E48" s="29" t="s">
        <v>225</v>
      </c>
      <c r="F48" s="30">
        <v>2030</v>
      </c>
      <c r="G48" s="30" t="s">
        <v>148</v>
      </c>
      <c r="H48" s="39"/>
      <c r="I48" s="31" t="str">
        <f t="shared" si="0"/>
        <v/>
      </c>
      <c r="J48" s="32">
        <v>1</v>
      </c>
      <c r="K48" s="32">
        <v>0.1</v>
      </c>
      <c r="L48" s="32">
        <v>0.2</v>
      </c>
      <c r="M48" s="32">
        <v>0.08</v>
      </c>
      <c r="N48" s="32">
        <v>0.4</v>
      </c>
      <c r="O48" s="31" t="str">
        <f t="shared" si="1"/>
        <v/>
      </c>
      <c r="P48" s="31" t="str">
        <f t="shared" si="2"/>
        <v/>
      </c>
      <c r="Q48" s="33">
        <v>0</v>
      </c>
      <c r="R48" s="31">
        <f t="shared" si="3"/>
        <v>0</v>
      </c>
      <c r="S48" s="34" t="s">
        <v>149</v>
      </c>
      <c r="T48" s="29" t="s">
        <v>184</v>
      </c>
      <c r="U48" s="29" t="s">
        <v>226</v>
      </c>
    </row>
    <row r="49" ht="29" customHeight="1" spans="1:21">
      <c r="A49" s="40" t="s">
        <v>227</v>
      </c>
      <c r="B49" s="40" t="s">
        <v>163</v>
      </c>
      <c r="C49" s="7" t="s">
        <v>228</v>
      </c>
      <c r="D49" s="7" t="s">
        <v>197</v>
      </c>
      <c r="E49" s="7" t="s">
        <v>229</v>
      </c>
      <c r="F49" s="3">
        <v>2030</v>
      </c>
      <c r="G49" s="3" t="s">
        <v>148</v>
      </c>
      <c r="H49" s="22"/>
      <c r="I49" s="8" t="str">
        <f t="shared" si="0"/>
        <v/>
      </c>
      <c r="J49" s="25">
        <v>1</v>
      </c>
      <c r="K49" s="25">
        <v>0.25</v>
      </c>
      <c r="L49" s="25">
        <v>0.3</v>
      </c>
      <c r="M49" s="25">
        <v>0.06</v>
      </c>
      <c r="N49" s="25">
        <v>0.45</v>
      </c>
      <c r="O49" s="8" t="str">
        <f t="shared" si="1"/>
        <v/>
      </c>
      <c r="P49" s="8" t="str">
        <f t="shared" si="2"/>
        <v/>
      </c>
      <c r="Q49" s="28">
        <v>0</v>
      </c>
      <c r="R49" s="8">
        <f t="shared" si="3"/>
        <v>0</v>
      </c>
      <c r="S49" s="35" t="s">
        <v>230</v>
      </c>
      <c r="T49" s="7" t="s">
        <v>184</v>
      </c>
      <c r="U49" s="7" t="s">
        <v>231</v>
      </c>
    </row>
    <row r="50" ht="20" customHeight="1" spans="1:2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ht="24" customHeight="1" spans="1:21">
      <c r="A51" s="4" t="s">
        <v>232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</row>
    <row r="52" ht="20" customHeight="1" spans="1:2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ht="33" customHeight="1" spans="1:21">
      <c r="A53" s="21" t="s">
        <v>233</v>
      </c>
      <c r="B53" s="3"/>
      <c r="C53" s="17" t="s">
        <v>234</v>
      </c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</row>
    <row r="54" ht="33" customHeight="1" spans="1:21">
      <c r="A54" s="21" t="s">
        <v>235</v>
      </c>
      <c r="B54" s="3"/>
      <c r="C54" s="17" t="s">
        <v>236</v>
      </c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</row>
    <row r="55" ht="33" customHeight="1" spans="1:21">
      <c r="A55" s="21" t="s">
        <v>237</v>
      </c>
      <c r="B55" s="3"/>
      <c r="C55" s="17" t="s">
        <v>238</v>
      </c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</row>
    <row r="56" ht="33" customHeight="1" spans="1:21">
      <c r="A56" s="21" t="s">
        <v>239</v>
      </c>
      <c r="B56" s="3"/>
      <c r="C56" s="17" t="s">
        <v>240</v>
      </c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</row>
    <row r="57" ht="33" customHeight="1" spans="1:21">
      <c r="A57" s="21" t="s">
        <v>241</v>
      </c>
      <c r="B57" s="3"/>
      <c r="C57" s="17" t="s">
        <v>242</v>
      </c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</row>
    <row r="58" ht="33" customHeight="1" spans="1:21">
      <c r="A58" s="21" t="s">
        <v>243</v>
      </c>
      <c r="B58" s="3"/>
      <c r="C58" s="17" t="s">
        <v>244</v>
      </c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</row>
    <row r="59" ht="33" customHeight="1" spans="1:21">
      <c r="A59" s="21" t="s">
        <v>245</v>
      </c>
      <c r="B59" s="3"/>
      <c r="C59" s="17" t="s">
        <v>246</v>
      </c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</row>
    <row r="60" ht="33" customHeight="1" spans="1:21">
      <c r="A60" s="21" t="s">
        <v>247</v>
      </c>
      <c r="B60" s="3"/>
      <c r="C60" s="17" t="s">
        <v>248</v>
      </c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</row>
    <row r="61" ht="20" customHeight="1" spans="1:2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 ht="20" customHeight="1" spans="1:2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 ht="24" customHeight="1" spans="1:21">
      <c r="A63" s="4" t="s">
        <v>249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</row>
    <row r="64" ht="20" customHeight="1" spans="1:2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 ht="20" customHeight="1" spans="1:21">
      <c r="A65" s="3"/>
      <c r="B65" s="3" t="s">
        <v>250</v>
      </c>
      <c r="C65" s="3"/>
      <c r="D65" s="3"/>
      <c r="E65" s="3"/>
      <c r="F65" s="3"/>
      <c r="G65" s="3"/>
      <c r="H65" s="41">
        <f>SUM(R19:R49)</f>
        <v>94.1875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 ht="20" customHeight="1" spans="1:21">
      <c r="A66" s="3"/>
      <c r="B66" s="3" t="s">
        <v>251</v>
      </c>
      <c r="C66" s="3"/>
      <c r="D66" s="3"/>
      <c r="E66" s="3"/>
      <c r="F66" s="3"/>
      <c r="G66" s="3"/>
      <c r="H66" s="41">
        <f>SUM(P19:P49)</f>
        <v>601.399794977598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 ht="20" customHeight="1" spans="1:21">
      <c r="A67" s="3"/>
      <c r="B67" s="3" t="s">
        <v>252</v>
      </c>
      <c r="C67" s="3"/>
      <c r="D67" s="3"/>
      <c r="E67" s="3"/>
      <c r="F67" s="3"/>
      <c r="G67" s="3"/>
      <c r="H67" s="41">
        <f>SUM(P24:P37)</f>
        <v>29.4980193994309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ht="20" customHeight="1" spans="1:21">
      <c r="A68" s="3"/>
      <c r="B68" s="3" t="s">
        <v>253</v>
      </c>
      <c r="C68" s="3"/>
      <c r="D68" s="3"/>
      <c r="E68" s="3"/>
      <c r="F68" s="3"/>
      <c r="G68" s="3"/>
      <c r="H68" s="41">
        <f>P39</f>
        <v>1.23927557816744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 ht="20" customHeight="1" spans="1:2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 ht="20" customHeight="1" spans="1:2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 ht="20" customHeight="1" spans="1:2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 ht="20" customHeight="1" spans="1:2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 ht="20" customHeight="1" spans="1:2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 ht="20" customHeight="1" spans="1:2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 ht="20" customHeight="1" spans="1:2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 ht="20" customHeight="1" spans="1:2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 ht="20" customHeight="1" spans="1:2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 ht="20" customHeight="1" spans="1:2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 ht="20" customHeight="1" spans="1:2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 ht="20" customHeight="1" spans="1:2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 ht="20" customHeight="1" spans="1:2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 ht="20" customHeight="1" spans="1:2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ht="20" customHeight="1" spans="1:2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</row>
    <row r="84" ht="20" customHeight="1" spans="1:2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</row>
    <row r="85" ht="20" customHeight="1" spans="1:2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</row>
    <row r="86" ht="20" customHeight="1" spans="1:2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ht="20" customHeight="1" spans="1:2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</row>
    <row r="88" ht="20" customHeight="1" spans="1:2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</row>
    <row r="89" ht="20" customHeight="1" spans="1:2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</row>
    <row r="90" ht="20" customHeight="1" spans="1:2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ht="20" customHeight="1" spans="1:2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</row>
    <row r="92" ht="20" customHeight="1" spans="1:2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</row>
    <row r="93" ht="20" customHeight="1" spans="1:2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</row>
    <row r="94" ht="20" customHeight="1" spans="1:2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</row>
    <row r="95" ht="20" customHeight="1" spans="1:2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ht="20" customHeight="1" spans="1:2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</row>
    <row r="97" ht="20" customHeight="1" spans="1:2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</row>
    <row r="98" ht="20" customHeight="1" spans="1:2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</row>
    <row r="99" ht="20" customHeight="1" spans="1:2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ht="20" customHeight="1" spans="1:2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ht="20" customHeight="1" spans="1:2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 ht="20" customHeight="1" spans="1:2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 ht="20" customHeight="1" spans="1:2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 ht="20" customHeight="1" spans="1:2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 ht="20" customHeight="1" spans="1:2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 ht="20" customHeight="1" spans="1:2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 ht="20" customHeight="1" spans="1:2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 ht="20" customHeight="1" spans="1:2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 ht="20" customHeight="1" spans="1:2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</row>
    <row r="110" ht="20" customHeight="1" spans="1:2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</row>
  </sheetData>
  <mergeCells count="21">
    <mergeCell ref="A3:U3"/>
    <mergeCell ref="A5:U5"/>
    <mergeCell ref="A15:U15"/>
    <mergeCell ref="A51:U51"/>
    <mergeCell ref="C53:U53"/>
    <mergeCell ref="C54:U54"/>
    <mergeCell ref="C55:U55"/>
    <mergeCell ref="C56:U56"/>
    <mergeCell ref="C57:U57"/>
    <mergeCell ref="C58:U58"/>
    <mergeCell ref="C59:U59"/>
    <mergeCell ref="C60:U60"/>
    <mergeCell ref="A63:U63"/>
    <mergeCell ref="B65:G65"/>
    <mergeCell ref="B66:G66"/>
    <mergeCell ref="B67:G67"/>
    <mergeCell ref="B68:G68"/>
    <mergeCell ref="A1:U2"/>
    <mergeCell ref="K6:U7"/>
    <mergeCell ref="K8:U9"/>
    <mergeCell ref="K11:U13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6"/>
  <sheetViews>
    <sheetView workbookViewId="0">
      <pane ySplit="5" topLeftCell="A6" activePane="bottomLeft" state="frozen"/>
      <selection/>
      <selection pane="bottomLeft" activeCell="B66" sqref="B66"/>
    </sheetView>
  </sheetViews>
  <sheetFormatPr defaultColWidth="9" defaultRowHeight="16.8"/>
  <cols>
    <col min="1" max="1" width="13" customWidth="1"/>
    <col min="2" max="2" width="36" customWidth="1"/>
    <col min="3" max="4" width="20" customWidth="1"/>
    <col min="5" max="5" width="30" customWidth="1"/>
    <col min="6" max="6" width="40" customWidth="1"/>
    <col min="7" max="16" width="16" customWidth="1"/>
  </cols>
  <sheetData>
    <row r="1" ht="22" customHeight="1" spans="1:16">
      <c r="A1" s="1" t="s">
        <v>254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2" customHeight="1" spans="1:1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ht="20" customHeight="1" spans="1:16">
      <c r="A3" s="2" t="s">
        <v>255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ht="20" customHeight="1" spans="1:16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ht="24" customHeight="1" spans="1:16">
      <c r="A5" s="4" t="s">
        <v>256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ht="28" customHeight="1" spans="1:16">
      <c r="A6" s="5" t="s">
        <v>31</v>
      </c>
      <c r="B6" s="5" t="s">
        <v>257</v>
      </c>
      <c r="C6" s="5" t="s">
        <v>258</v>
      </c>
      <c r="D6" s="5" t="s">
        <v>259</v>
      </c>
      <c r="E6" s="5" t="s">
        <v>260</v>
      </c>
      <c r="F6" s="5" t="s">
        <v>261</v>
      </c>
      <c r="G6" s="3"/>
      <c r="H6" s="3"/>
      <c r="I6" s="3"/>
      <c r="J6" s="3"/>
      <c r="K6" s="3"/>
      <c r="L6" s="3"/>
      <c r="M6" s="3"/>
      <c r="N6" s="3"/>
      <c r="O6" s="3"/>
      <c r="P6" s="3"/>
    </row>
    <row r="7" ht="20" customHeight="1" spans="1:16">
      <c r="A7" s="3" t="s">
        <v>262</v>
      </c>
      <c r="B7" s="3" t="s">
        <v>263</v>
      </c>
      <c r="C7" s="6">
        <f>'01 Buckets'!C7</f>
        <v>5300</v>
      </c>
      <c r="D7" s="6">
        <f>'01 Buckets'!F7</f>
        <v>14000</v>
      </c>
      <c r="E7" s="7" t="s">
        <v>264</v>
      </c>
      <c r="F7" s="7" t="s">
        <v>265</v>
      </c>
      <c r="G7" s="3"/>
      <c r="H7" s="3"/>
      <c r="I7" s="3"/>
      <c r="J7" s="3"/>
      <c r="K7" s="3"/>
      <c r="L7" s="3"/>
      <c r="M7" s="3"/>
      <c r="N7" s="3"/>
      <c r="O7" s="3"/>
      <c r="P7" s="3"/>
    </row>
    <row r="8" ht="25" customHeight="1" spans="1:16">
      <c r="A8" s="3" t="s">
        <v>53</v>
      </c>
      <c r="B8" s="3" t="s">
        <v>266</v>
      </c>
      <c r="C8" s="6">
        <f>'01 Buckets'!I6</f>
        <v>586</v>
      </c>
      <c r="D8" s="8"/>
      <c r="E8" s="7" t="s">
        <v>267</v>
      </c>
      <c r="F8" s="7" t="s">
        <v>268</v>
      </c>
      <c r="G8" s="3"/>
      <c r="H8" s="3"/>
      <c r="I8" s="3"/>
      <c r="J8" s="3"/>
      <c r="K8" s="3"/>
      <c r="L8" s="3"/>
      <c r="M8" s="3"/>
      <c r="N8" s="3"/>
      <c r="O8" s="3"/>
      <c r="P8" s="3"/>
    </row>
    <row r="9" ht="20" customHeight="1" spans="1:16">
      <c r="A9" s="3" t="s">
        <v>53</v>
      </c>
      <c r="B9" s="3" t="s">
        <v>269</v>
      </c>
      <c r="C9" s="6">
        <f>'01 Buckets'!O20</f>
        <v>152.375</v>
      </c>
      <c r="D9" s="6">
        <f>'01 Buckets'!O21</f>
        <v>402.5</v>
      </c>
      <c r="E9" s="7" t="s">
        <v>270</v>
      </c>
      <c r="F9" s="7" t="s">
        <v>271</v>
      </c>
      <c r="G9" s="3"/>
      <c r="H9" s="3"/>
      <c r="I9" s="3"/>
      <c r="J9" s="3"/>
      <c r="K9" s="3"/>
      <c r="L9" s="3"/>
      <c r="M9" s="3"/>
      <c r="N9" s="3"/>
      <c r="O9" s="3"/>
      <c r="P9" s="3"/>
    </row>
    <row r="10" ht="25" customHeight="1" spans="1:16">
      <c r="A10" s="3" t="s">
        <v>53</v>
      </c>
      <c r="B10" s="3" t="s">
        <v>272</v>
      </c>
      <c r="C10" s="6">
        <f>'01 Buckets'!P20</f>
        <v>76.1875</v>
      </c>
      <c r="D10" s="6">
        <f>'01 Buckets'!P21</f>
        <v>201.25</v>
      </c>
      <c r="E10" s="7" t="s">
        <v>273</v>
      </c>
      <c r="F10" s="7" t="s">
        <v>274</v>
      </c>
      <c r="G10" s="3"/>
      <c r="H10" s="3"/>
      <c r="I10" s="3"/>
      <c r="J10" s="3"/>
      <c r="K10" s="3"/>
      <c r="L10" s="3"/>
      <c r="M10" s="3"/>
      <c r="N10" s="3"/>
      <c r="O10" s="3"/>
      <c r="P10" s="3"/>
    </row>
    <row r="11" ht="20" customHeight="1" spans="1:16">
      <c r="A11" s="3" t="s">
        <v>53</v>
      </c>
      <c r="B11" s="3" t="s">
        <v>275</v>
      </c>
      <c r="C11" s="6">
        <f>'01 Buckets'!P22</f>
        <v>36</v>
      </c>
      <c r="D11" s="6">
        <f>'01 Buckets'!P23</f>
        <v>144</v>
      </c>
      <c r="E11" s="7" t="s">
        <v>276</v>
      </c>
      <c r="F11" s="7" t="s">
        <v>277</v>
      </c>
      <c r="G11" s="3"/>
      <c r="H11" s="3"/>
      <c r="I11" s="3"/>
      <c r="J11" s="3"/>
      <c r="K11" s="3"/>
      <c r="L11" s="3"/>
      <c r="M11" s="3"/>
      <c r="N11" s="3"/>
      <c r="O11" s="3"/>
      <c r="P11" s="3"/>
    </row>
    <row r="12" ht="25" customHeight="1" spans="1:16">
      <c r="A12" s="3" t="s">
        <v>88</v>
      </c>
      <c r="B12" s="3" t="s">
        <v>278</v>
      </c>
      <c r="C12" s="6">
        <f>SUM('01 Buckets'!P24:P37)</f>
        <v>29.4980193994309</v>
      </c>
      <c r="D12" s="8"/>
      <c r="E12" s="7" t="s">
        <v>279</v>
      </c>
      <c r="F12" s="7" t="s">
        <v>280</v>
      </c>
      <c r="G12" s="3"/>
      <c r="H12" s="3"/>
      <c r="I12" s="3"/>
      <c r="J12" s="3"/>
      <c r="K12" s="3"/>
      <c r="L12" s="3"/>
      <c r="M12" s="3"/>
      <c r="N12" s="3"/>
      <c r="O12" s="3"/>
      <c r="P12" s="3"/>
    </row>
    <row r="13" ht="20" customHeight="1" spans="1:16">
      <c r="A13" s="3" t="s">
        <v>163</v>
      </c>
      <c r="B13" s="3" t="s">
        <v>281</v>
      </c>
      <c r="C13" s="6">
        <f>'01 Buckets'!P38</f>
        <v>18</v>
      </c>
      <c r="D13" s="8"/>
      <c r="E13" s="7" t="s">
        <v>282</v>
      </c>
      <c r="F13" s="7" t="s">
        <v>283</v>
      </c>
      <c r="G13" s="3"/>
      <c r="H13" s="3"/>
      <c r="I13" s="3"/>
      <c r="J13" s="3"/>
      <c r="K13" s="3"/>
      <c r="L13" s="3"/>
      <c r="M13" s="3"/>
      <c r="N13" s="3"/>
      <c r="O13" s="3"/>
      <c r="P13" s="3"/>
    </row>
    <row r="14" ht="25" customHeight="1" spans="1:16">
      <c r="A14" s="3" t="s">
        <v>163</v>
      </c>
      <c r="B14" s="3" t="s">
        <v>284</v>
      </c>
      <c r="C14" s="6">
        <f>'01 Buckets'!P39</f>
        <v>1.23927557816744</v>
      </c>
      <c r="D14" s="8"/>
      <c r="E14" s="7" t="s">
        <v>285</v>
      </c>
      <c r="F14" s="7" t="s">
        <v>286</v>
      </c>
      <c r="G14" s="3"/>
      <c r="H14" s="3"/>
      <c r="I14" s="3"/>
      <c r="J14" s="3"/>
      <c r="K14" s="3"/>
      <c r="L14" s="3"/>
      <c r="M14" s="3"/>
      <c r="N14" s="3"/>
      <c r="O14" s="3"/>
      <c r="P14" s="3"/>
    </row>
    <row r="15" ht="20" customHeight="1" spans="1:16">
      <c r="A15" s="9" t="s">
        <v>287</v>
      </c>
      <c r="B15" s="9" t="s">
        <v>288</v>
      </c>
      <c r="C15" s="10">
        <f>SUM('01 Buckets'!R19:R49)</f>
        <v>94.1875</v>
      </c>
      <c r="D15" s="11"/>
      <c r="E15" s="12" t="s">
        <v>289</v>
      </c>
      <c r="F15" s="12" t="s">
        <v>290</v>
      </c>
      <c r="G15" s="3"/>
      <c r="H15" s="3"/>
      <c r="I15" s="3"/>
      <c r="J15" s="3"/>
      <c r="K15" s="3"/>
      <c r="L15" s="3"/>
      <c r="M15" s="3"/>
      <c r="N15" s="3"/>
      <c r="O15" s="3"/>
      <c r="P15" s="3"/>
    </row>
    <row r="16" ht="20" customHeight="1" spans="1:16">
      <c r="A16" s="9" t="s">
        <v>287</v>
      </c>
      <c r="B16" s="9" t="s">
        <v>291</v>
      </c>
      <c r="C16" s="10">
        <f>SUM('01 Buckets'!P19:P49)</f>
        <v>601.399794977598</v>
      </c>
      <c r="D16" s="11"/>
      <c r="E16" s="12" t="s">
        <v>292</v>
      </c>
      <c r="F16" s="12" t="s">
        <v>293</v>
      </c>
      <c r="G16" s="3"/>
      <c r="H16" s="3"/>
      <c r="I16" s="3"/>
      <c r="J16" s="3"/>
      <c r="K16" s="3"/>
      <c r="L16" s="3"/>
      <c r="M16" s="3"/>
      <c r="N16" s="3"/>
      <c r="O16" s="3"/>
      <c r="P16" s="3"/>
    </row>
    <row r="17" ht="20" customHeight="1" spans="1:16">
      <c r="A17" s="13" t="s">
        <v>294</v>
      </c>
      <c r="B17" s="13" t="s">
        <v>295</v>
      </c>
      <c r="C17" s="14">
        <f>'01 Buckets'!C8</f>
        <v>600</v>
      </c>
      <c r="D17" s="15"/>
      <c r="E17" s="16" t="s">
        <v>296</v>
      </c>
      <c r="F17" s="16" t="s">
        <v>297</v>
      </c>
      <c r="G17" s="3"/>
      <c r="H17" s="3"/>
      <c r="I17" s="3"/>
      <c r="J17" s="3"/>
      <c r="K17" s="3"/>
      <c r="L17" s="3"/>
      <c r="M17" s="3"/>
      <c r="N17" s="3"/>
      <c r="O17" s="3"/>
      <c r="P17" s="3"/>
    </row>
    <row r="18" ht="20" customHeight="1" spans="1:16">
      <c r="A18" s="13" t="s">
        <v>294</v>
      </c>
      <c r="B18" s="13" t="s">
        <v>298</v>
      </c>
      <c r="C18" s="14">
        <f>'01 Buckets'!F8</f>
        <v>900</v>
      </c>
      <c r="D18" s="15"/>
      <c r="E18" s="16" t="s">
        <v>296</v>
      </c>
      <c r="F18" s="16" t="s">
        <v>297</v>
      </c>
      <c r="G18" s="3"/>
      <c r="H18" s="3"/>
      <c r="I18" s="3"/>
      <c r="J18" s="3"/>
      <c r="K18" s="3"/>
      <c r="L18" s="3"/>
      <c r="M18" s="3"/>
      <c r="N18" s="3"/>
      <c r="O18" s="3"/>
      <c r="P18" s="3"/>
    </row>
    <row r="19" ht="20" customHeight="1" spans="1:16">
      <c r="A19" s="13" t="s">
        <v>294</v>
      </c>
      <c r="B19" s="13" t="s">
        <v>299</v>
      </c>
      <c r="C19" s="14">
        <f>'01 Buckets'!I8</f>
        <v>1200</v>
      </c>
      <c r="D19" s="15"/>
      <c r="E19" s="16" t="s">
        <v>296</v>
      </c>
      <c r="F19" s="16" t="s">
        <v>297</v>
      </c>
      <c r="G19" s="3"/>
      <c r="H19" s="3"/>
      <c r="I19" s="3"/>
      <c r="J19" s="3"/>
      <c r="K19" s="3"/>
      <c r="L19" s="3"/>
      <c r="M19" s="3"/>
      <c r="N19" s="3"/>
      <c r="O19" s="3"/>
      <c r="P19" s="3"/>
    </row>
    <row r="20" ht="20" customHeight="1" spans="1:1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ht="24" customHeight="1" spans="1:16">
      <c r="A21" s="4" t="s">
        <v>300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ht="30" customHeight="1" spans="1:16">
      <c r="A22" s="5" t="s">
        <v>301</v>
      </c>
      <c r="B22" s="5" t="s">
        <v>302</v>
      </c>
      <c r="C22" s="5" t="s">
        <v>303</v>
      </c>
      <c r="D22" s="5" t="s">
        <v>304</v>
      </c>
      <c r="E22" s="5" t="s">
        <v>305</v>
      </c>
      <c r="F22" s="5" t="s">
        <v>306</v>
      </c>
      <c r="G22" s="3"/>
      <c r="H22" s="3"/>
      <c r="I22" s="3"/>
      <c r="J22" s="3"/>
      <c r="K22" s="3"/>
      <c r="L22" s="3"/>
      <c r="M22" s="3"/>
      <c r="N22" s="3"/>
      <c r="O22" s="3"/>
      <c r="P22" s="3"/>
    </row>
    <row r="23" ht="26" customHeight="1" spans="1:16">
      <c r="A23" s="3" t="s">
        <v>307</v>
      </c>
      <c r="B23" s="3" t="s">
        <v>308</v>
      </c>
      <c r="C23" s="8">
        <f t="shared" ref="C23:C28" si="0">D23*0.6</f>
        <v>57.135</v>
      </c>
      <c r="D23" s="6">
        <f>'01 Buckets'!P19</f>
        <v>95.225</v>
      </c>
      <c r="E23" s="8">
        <f t="shared" ref="E23:E28" si="1">D23*1.5</f>
        <v>142.8375</v>
      </c>
      <c r="F23" s="2" t="s">
        <v>309</v>
      </c>
      <c r="G23" s="3"/>
      <c r="H23" s="3"/>
      <c r="I23" s="3"/>
      <c r="J23" s="3"/>
      <c r="K23" s="3"/>
      <c r="L23" s="3"/>
      <c r="M23" s="3"/>
      <c r="N23" s="3"/>
      <c r="O23" s="3"/>
      <c r="P23" s="3"/>
    </row>
    <row r="24" ht="26" customHeight="1" spans="1:16">
      <c r="A24" s="3" t="s">
        <v>310</v>
      </c>
      <c r="B24" s="3" t="s">
        <v>311</v>
      </c>
      <c r="C24" s="8">
        <f t="shared" si="0"/>
        <v>45.7125</v>
      </c>
      <c r="D24" s="6">
        <f>'01 Buckets'!P20</f>
        <v>76.1875</v>
      </c>
      <c r="E24" s="8">
        <f t="shared" si="1"/>
        <v>114.28125</v>
      </c>
      <c r="F24" s="2" t="s">
        <v>312</v>
      </c>
      <c r="G24" s="3"/>
      <c r="H24" s="3"/>
      <c r="I24" s="3"/>
      <c r="J24" s="3"/>
      <c r="K24" s="3"/>
      <c r="L24" s="3"/>
      <c r="M24" s="3"/>
      <c r="N24" s="3"/>
      <c r="O24" s="3"/>
      <c r="P24" s="3"/>
    </row>
    <row r="25" ht="26" customHeight="1" spans="1:16">
      <c r="A25" s="3" t="s">
        <v>313</v>
      </c>
      <c r="B25" s="3" t="s">
        <v>314</v>
      </c>
      <c r="C25" s="8">
        <f t="shared" si="0"/>
        <v>21.6</v>
      </c>
      <c r="D25" s="6">
        <f>'01 Buckets'!P22</f>
        <v>36</v>
      </c>
      <c r="E25" s="8">
        <f t="shared" si="1"/>
        <v>54</v>
      </c>
      <c r="F25" s="2" t="s">
        <v>315</v>
      </c>
      <c r="G25" s="3"/>
      <c r="H25" s="3"/>
      <c r="I25" s="3"/>
      <c r="J25" s="3"/>
      <c r="K25" s="3"/>
      <c r="L25" s="3"/>
      <c r="M25" s="3"/>
      <c r="N25" s="3"/>
      <c r="O25" s="3"/>
      <c r="P25" s="3"/>
    </row>
    <row r="26" ht="26" customHeight="1" spans="1:16">
      <c r="A26" s="3" t="s">
        <v>316</v>
      </c>
      <c r="B26" s="3" t="s">
        <v>317</v>
      </c>
      <c r="C26" s="8">
        <f t="shared" si="0"/>
        <v>17.6988116396585</v>
      </c>
      <c r="D26" s="6">
        <f>SUM('01 Buckets'!P24:P37)</f>
        <v>29.4980193994309</v>
      </c>
      <c r="E26" s="8">
        <f t="shared" si="1"/>
        <v>44.2470290991463</v>
      </c>
      <c r="F26" s="2" t="s">
        <v>318</v>
      </c>
      <c r="G26" s="3"/>
      <c r="H26" s="3"/>
      <c r="I26" s="3"/>
      <c r="J26" s="3"/>
      <c r="K26" s="3"/>
      <c r="L26" s="3"/>
      <c r="M26" s="3"/>
      <c r="N26" s="3"/>
      <c r="O26" s="3"/>
      <c r="P26" s="3"/>
    </row>
    <row r="27" ht="26" customHeight="1" spans="1:16">
      <c r="A27" s="3" t="s">
        <v>319</v>
      </c>
      <c r="B27" s="3" t="s">
        <v>320</v>
      </c>
      <c r="C27" s="8">
        <f t="shared" si="0"/>
        <v>10.8</v>
      </c>
      <c r="D27" s="6">
        <f>'01 Buckets'!P38</f>
        <v>18</v>
      </c>
      <c r="E27" s="8">
        <f t="shared" si="1"/>
        <v>27</v>
      </c>
      <c r="F27" s="2" t="s">
        <v>321</v>
      </c>
      <c r="G27" s="3"/>
      <c r="H27" s="3"/>
      <c r="I27" s="3"/>
      <c r="J27" s="3"/>
      <c r="K27" s="3"/>
      <c r="L27" s="3"/>
      <c r="M27" s="3"/>
      <c r="N27" s="3"/>
      <c r="O27" s="3"/>
      <c r="P27" s="3"/>
    </row>
    <row r="28" ht="26" customHeight="1" spans="1:16">
      <c r="A28" s="3" t="s">
        <v>322</v>
      </c>
      <c r="B28" s="3" t="s">
        <v>323</v>
      </c>
      <c r="C28" s="8">
        <f t="shared" si="0"/>
        <v>0.743565346900466</v>
      </c>
      <c r="D28" s="6">
        <f>'01 Buckets'!P39</f>
        <v>1.23927557816744</v>
      </c>
      <c r="E28" s="8">
        <f t="shared" si="1"/>
        <v>1.85891336725116</v>
      </c>
      <c r="F28" s="2" t="s">
        <v>324</v>
      </c>
      <c r="G28" s="3"/>
      <c r="H28" s="3"/>
      <c r="I28" s="3"/>
      <c r="J28" s="3"/>
      <c r="K28" s="3"/>
      <c r="L28" s="3"/>
      <c r="M28" s="3"/>
      <c r="N28" s="3"/>
      <c r="O28" s="3"/>
      <c r="P28" s="3"/>
    </row>
    <row r="29" ht="20" customHeight="1" spans="1:1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ht="20" customHeight="1" spans="1:16">
      <c r="A30" s="17" t="s">
        <v>325</v>
      </c>
      <c r="B30" s="7"/>
      <c r="C30" s="7"/>
      <c r="D30" s="7"/>
      <c r="E30" s="7"/>
      <c r="F30" s="7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ht="20" customHeight="1" spans="1:16">
      <c r="A31" s="7"/>
      <c r="B31" s="7"/>
      <c r="C31" s="7"/>
      <c r="D31" s="7"/>
      <c r="E31" s="7"/>
      <c r="F31" s="7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ht="20" customHeight="1" spans="1:1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ht="20" customHeight="1" spans="1:1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ht="24" customHeight="1" spans="1:16">
      <c r="A34" s="4" t="s">
        <v>326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</row>
    <row r="35" ht="28" customHeight="1" spans="1:16">
      <c r="A35" s="18" t="s">
        <v>327</v>
      </c>
      <c r="B35" s="18" t="s">
        <v>328</v>
      </c>
      <c r="C35" s="18" t="s">
        <v>329</v>
      </c>
      <c r="D35" s="18" t="s">
        <v>330</v>
      </c>
      <c r="E35" s="18" t="s">
        <v>331</v>
      </c>
      <c r="F35" s="19" t="s">
        <v>332</v>
      </c>
      <c r="G35" s="3"/>
      <c r="H35" s="3"/>
      <c r="I35" s="3"/>
      <c r="J35" s="3"/>
      <c r="K35" s="3"/>
      <c r="L35" s="3"/>
      <c r="M35" s="3"/>
      <c r="N35" s="3"/>
      <c r="O35" s="3"/>
      <c r="P35" s="3"/>
    </row>
    <row r="36" ht="20" customHeight="1" spans="1:16">
      <c r="A36" s="3">
        <v>1</v>
      </c>
      <c r="B36" s="3" t="s">
        <v>333</v>
      </c>
      <c r="C36" s="6">
        <f>'01 Buckets'!R19</f>
        <v>0</v>
      </c>
      <c r="D36" s="8">
        <f>SUM($C$36:C36)</f>
        <v>0</v>
      </c>
      <c r="E36" s="8">
        <f t="shared" ref="E36:E44" si="2">D36-C36</f>
        <v>0</v>
      </c>
      <c r="F36" s="20">
        <f>'01 Buckets'!Q19</f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</row>
    <row r="37" ht="20" customHeight="1" spans="1:16">
      <c r="A37" s="3">
        <v>2</v>
      </c>
      <c r="B37" s="3" t="s">
        <v>334</v>
      </c>
      <c r="C37" s="6">
        <f>'01 Buckets'!R20</f>
        <v>76.1875</v>
      </c>
      <c r="D37" s="8">
        <f>SUM($C$36:C37)</f>
        <v>76.1875</v>
      </c>
      <c r="E37" s="8">
        <f t="shared" si="2"/>
        <v>0</v>
      </c>
      <c r="F37" s="20">
        <f>'01 Buckets'!Q20</f>
        <v>1</v>
      </c>
      <c r="G37" s="3"/>
      <c r="H37" s="3"/>
      <c r="I37" s="3"/>
      <c r="J37" s="3"/>
      <c r="K37" s="3"/>
      <c r="L37" s="3"/>
      <c r="M37" s="3"/>
      <c r="N37" s="3"/>
      <c r="O37" s="3"/>
      <c r="P37" s="3"/>
    </row>
    <row r="38" ht="20" customHeight="1" spans="1:16">
      <c r="A38" s="3">
        <v>3</v>
      </c>
      <c r="B38" s="3" t="s">
        <v>335</v>
      </c>
      <c r="C38" s="6">
        <f>'01 Buckets'!R24</f>
        <v>0</v>
      </c>
      <c r="D38" s="8">
        <f>SUM($C$36:C38)</f>
        <v>76.1875</v>
      </c>
      <c r="E38" s="8">
        <f t="shared" si="2"/>
        <v>76.1875</v>
      </c>
      <c r="F38" s="20">
        <f>'01 Buckets'!Q24</f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</row>
    <row r="39" ht="20" customHeight="1" spans="1:16">
      <c r="A39" s="3">
        <v>4</v>
      </c>
      <c r="B39" s="3" t="s">
        <v>336</v>
      </c>
      <c r="C39" s="6">
        <f>'01 Buckets'!R25</f>
        <v>0</v>
      </c>
      <c r="D39" s="8">
        <f>SUM($C$36:C39)</f>
        <v>76.1875</v>
      </c>
      <c r="E39" s="8">
        <f t="shared" si="2"/>
        <v>76.1875</v>
      </c>
      <c r="F39" s="20">
        <f>'01 Buckets'!Q25</f>
        <v>0</v>
      </c>
      <c r="G39" s="3"/>
      <c r="H39" s="3"/>
      <c r="I39" s="3"/>
      <c r="J39" s="3"/>
      <c r="K39" s="3"/>
      <c r="L39" s="3"/>
      <c r="M39" s="3"/>
      <c r="N39" s="3"/>
      <c r="O39" s="3"/>
      <c r="P39" s="3"/>
    </row>
    <row r="40" ht="20" customHeight="1" spans="1:16">
      <c r="A40" s="3">
        <v>5</v>
      </c>
      <c r="B40" s="3" t="s">
        <v>337</v>
      </c>
      <c r="C40" s="6">
        <f>'01 Buckets'!R26</f>
        <v>0</v>
      </c>
      <c r="D40" s="8">
        <f>SUM($C$36:C40)</f>
        <v>76.1875</v>
      </c>
      <c r="E40" s="8">
        <f t="shared" si="2"/>
        <v>76.1875</v>
      </c>
      <c r="F40" s="20">
        <f>'01 Buckets'!Q26</f>
        <v>0</v>
      </c>
      <c r="G40" s="3"/>
      <c r="H40" s="3"/>
      <c r="I40" s="3"/>
      <c r="J40" s="3"/>
      <c r="K40" s="3"/>
      <c r="L40" s="3"/>
      <c r="M40" s="3"/>
      <c r="N40" s="3"/>
      <c r="O40" s="3"/>
      <c r="P40" s="3"/>
    </row>
    <row r="41" ht="20" customHeight="1" spans="1:16">
      <c r="A41" s="3">
        <v>6</v>
      </c>
      <c r="B41" s="3" t="s">
        <v>338</v>
      </c>
      <c r="C41" s="6">
        <f>'01 Buckets'!R27</f>
        <v>0</v>
      </c>
      <c r="D41" s="8">
        <f>SUM($C$36:C41)</f>
        <v>76.1875</v>
      </c>
      <c r="E41" s="8">
        <f t="shared" si="2"/>
        <v>76.1875</v>
      </c>
      <c r="F41" s="20">
        <f>'01 Buckets'!Q27</f>
        <v>0</v>
      </c>
      <c r="G41" s="3"/>
      <c r="H41" s="3"/>
      <c r="I41" s="3"/>
      <c r="J41" s="3"/>
      <c r="K41" s="3"/>
      <c r="L41" s="3"/>
      <c r="M41" s="3"/>
      <c r="N41" s="3"/>
      <c r="O41" s="3"/>
      <c r="P41" s="3"/>
    </row>
    <row r="42" ht="20" customHeight="1" spans="1:16">
      <c r="A42" s="3">
        <v>7</v>
      </c>
      <c r="B42" s="3" t="s">
        <v>339</v>
      </c>
      <c r="C42" s="6">
        <f>'01 Buckets'!R28</f>
        <v>0</v>
      </c>
      <c r="D42" s="8">
        <f>SUM($C$36:C42)</f>
        <v>76.1875</v>
      </c>
      <c r="E42" s="8">
        <f t="shared" si="2"/>
        <v>76.1875</v>
      </c>
      <c r="F42" s="20">
        <f>'01 Buckets'!Q28</f>
        <v>0</v>
      </c>
      <c r="G42" s="3"/>
      <c r="H42" s="3"/>
      <c r="I42" s="3"/>
      <c r="J42" s="3"/>
      <c r="K42" s="3"/>
      <c r="L42" s="3"/>
      <c r="M42" s="3"/>
      <c r="N42" s="3"/>
      <c r="O42" s="3"/>
      <c r="P42" s="3"/>
    </row>
    <row r="43" ht="20" customHeight="1" spans="1:16">
      <c r="A43" s="3">
        <v>8</v>
      </c>
      <c r="B43" s="3" t="s">
        <v>340</v>
      </c>
      <c r="C43" s="6">
        <f>'01 Buckets'!R38</f>
        <v>18</v>
      </c>
      <c r="D43" s="8">
        <f>SUM($C$36:C43)</f>
        <v>94.1875</v>
      </c>
      <c r="E43" s="8">
        <f t="shared" si="2"/>
        <v>76.1875</v>
      </c>
      <c r="F43" s="20">
        <f>'01 Buckets'!Q38</f>
        <v>1</v>
      </c>
      <c r="G43" s="3"/>
      <c r="H43" s="3"/>
      <c r="I43" s="3"/>
      <c r="J43" s="3"/>
      <c r="K43" s="3"/>
      <c r="L43" s="3"/>
      <c r="M43" s="3"/>
      <c r="N43" s="3"/>
      <c r="O43" s="3"/>
      <c r="P43" s="3"/>
    </row>
    <row r="44" ht="20" customHeight="1" spans="1:16">
      <c r="A44" s="3">
        <v>9</v>
      </c>
      <c r="B44" s="3" t="s">
        <v>341</v>
      </c>
      <c r="C44" s="6">
        <f>'01 Buckets'!R39</f>
        <v>0</v>
      </c>
      <c r="D44" s="8">
        <f>SUM($C$36:C44)</f>
        <v>94.1875</v>
      </c>
      <c r="E44" s="8">
        <f t="shared" si="2"/>
        <v>94.1875</v>
      </c>
      <c r="F44" s="20">
        <f>'01 Buckets'!Q39</f>
        <v>0</v>
      </c>
      <c r="G44" s="3"/>
      <c r="H44" s="3"/>
      <c r="I44" s="3"/>
      <c r="J44" s="3"/>
      <c r="K44" s="3"/>
      <c r="L44" s="3"/>
      <c r="M44" s="3"/>
      <c r="N44" s="3"/>
      <c r="O44" s="3"/>
      <c r="P44" s="3"/>
    </row>
    <row r="45" ht="20" customHeight="1" spans="1:16">
      <c r="A45" s="9"/>
      <c r="B45" s="9" t="s">
        <v>342</v>
      </c>
      <c r="C45" s="11">
        <f>SUM(C36:C44)</f>
        <v>94.1875</v>
      </c>
      <c r="D45" s="11"/>
      <c r="E45" s="11"/>
      <c r="F45" s="9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ht="20" customHeight="1" spans="1:1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ht="20" customHeight="1" spans="1:16">
      <c r="A47" s="17" t="s">
        <v>343</v>
      </c>
      <c r="B47" s="7"/>
      <c r="C47" s="7"/>
      <c r="D47" s="7"/>
      <c r="E47" s="7"/>
      <c r="F47" s="7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ht="20" customHeight="1" spans="1:16">
      <c r="A48" s="7"/>
      <c r="B48" s="7"/>
      <c r="C48" s="7"/>
      <c r="D48" s="7"/>
      <c r="E48" s="7"/>
      <c r="F48" s="7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ht="20" customHeight="1" spans="1:1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</row>
    <row r="50" ht="24" customHeight="1" spans="1:16">
      <c r="A50" s="4" t="s">
        <v>344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</row>
    <row r="51" ht="20" customHeight="1" spans="1:1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ht="43" customHeight="1" spans="1:16">
      <c r="A52" s="21" t="s">
        <v>53</v>
      </c>
      <c r="B52" s="7" t="s">
        <v>345</v>
      </c>
      <c r="C52" s="7" t="s">
        <v>346</v>
      </c>
      <c r="D52" s="7" t="s">
        <v>347</v>
      </c>
      <c r="E52" s="7" t="s">
        <v>348</v>
      </c>
      <c r="F52" s="7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ht="43" customHeight="1" spans="1:16">
      <c r="A53" s="21" t="s">
        <v>88</v>
      </c>
      <c r="B53" s="7" t="s">
        <v>349</v>
      </c>
      <c r="C53" s="7" t="s">
        <v>350</v>
      </c>
      <c r="D53" s="7" t="s">
        <v>351</v>
      </c>
      <c r="E53" s="7" t="s">
        <v>352</v>
      </c>
      <c r="F53" s="7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 ht="43" customHeight="1" spans="1:16">
      <c r="A54" s="21" t="s">
        <v>163</v>
      </c>
      <c r="B54" s="7" t="s">
        <v>353</v>
      </c>
      <c r="C54" s="7" t="s">
        <v>354</v>
      </c>
      <c r="D54" s="7" t="s">
        <v>355</v>
      </c>
      <c r="E54" s="7" t="s">
        <v>356</v>
      </c>
      <c r="F54" s="7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ht="43" customHeight="1" spans="1:16">
      <c r="A55" s="21" t="s">
        <v>357</v>
      </c>
      <c r="B55" s="7" t="s">
        <v>358</v>
      </c>
      <c r="C55" s="7" t="s">
        <v>359</v>
      </c>
      <c r="D55" s="7" t="s">
        <v>360</v>
      </c>
      <c r="E55" s="7" t="s">
        <v>361</v>
      </c>
      <c r="F55" s="7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ht="20" customHeight="1" spans="1:1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ht="20" customHeight="1" spans="1:1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 ht="20" customHeight="1" spans="1:1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ht="21" customHeight="1" spans="1:16">
      <c r="A59" s="4" t="s">
        <v>362</v>
      </c>
      <c r="B59" s="4"/>
      <c r="C59" s="4"/>
      <c r="D59" s="4"/>
      <c r="E59" s="4"/>
      <c r="F59" s="4"/>
      <c r="G59" s="4"/>
      <c r="H59" s="4" t="s">
        <v>363</v>
      </c>
      <c r="I59" s="4" t="s">
        <v>364</v>
      </c>
      <c r="J59" s="4" t="s">
        <v>365</v>
      </c>
      <c r="K59" s="4" t="s">
        <v>366</v>
      </c>
      <c r="L59" s="4"/>
      <c r="M59" s="4"/>
      <c r="N59" s="4"/>
      <c r="O59" s="4"/>
      <c r="P59" s="4"/>
    </row>
    <row r="60" ht="21" customHeight="1" spans="1:16">
      <c r="A60" s="3"/>
      <c r="B60" s="3"/>
      <c r="C60" s="3"/>
      <c r="D60" s="3"/>
      <c r="E60" s="3"/>
      <c r="F60" s="3"/>
      <c r="G60" s="3"/>
      <c r="H60" s="3" t="s">
        <v>367</v>
      </c>
      <c r="I60" s="8">
        <f>SUM('01 Buckets'!R19:R23)</f>
        <v>76.1875</v>
      </c>
      <c r="J60" s="8">
        <f>'01 Buckets'!P19+'01 Buckets'!P20</f>
        <v>171.4125</v>
      </c>
      <c r="K60" s="3" t="s">
        <v>368</v>
      </c>
      <c r="L60" s="3"/>
      <c r="M60" s="3"/>
      <c r="N60" s="3"/>
      <c r="O60" s="3"/>
      <c r="P60" s="3"/>
    </row>
    <row r="61" ht="21" customHeight="1" spans="1:16">
      <c r="A61" s="22" t="s">
        <v>369</v>
      </c>
      <c r="B61" s="3" t="s">
        <v>370</v>
      </c>
      <c r="C61" s="17" t="s">
        <v>371</v>
      </c>
      <c r="D61" s="7"/>
      <c r="E61" s="7"/>
      <c r="F61" s="7"/>
      <c r="G61" s="3"/>
      <c r="H61" s="3" t="s">
        <v>88</v>
      </c>
      <c r="I61" s="8">
        <f>SUM('01 Buckets'!R24:R37)</f>
        <v>0</v>
      </c>
      <c r="J61" s="8">
        <f>SUM('01 Buckets'!P24:P37)</f>
        <v>29.4980193994309</v>
      </c>
      <c r="K61" s="3" t="s">
        <v>372</v>
      </c>
      <c r="L61" s="3"/>
      <c r="M61" s="3"/>
      <c r="N61" s="3"/>
      <c r="O61" s="3"/>
      <c r="P61" s="3"/>
    </row>
    <row r="62" ht="21" customHeight="1" spans="1:16">
      <c r="A62" s="22" t="s">
        <v>369</v>
      </c>
      <c r="B62" s="3" t="s">
        <v>373</v>
      </c>
      <c r="C62" s="17" t="s">
        <v>374</v>
      </c>
      <c r="D62" s="7"/>
      <c r="E62" s="7"/>
      <c r="F62" s="7"/>
      <c r="G62" s="3"/>
      <c r="H62" s="3" t="s">
        <v>163</v>
      </c>
      <c r="I62" s="8">
        <f>SUM('01 Buckets'!R38:R49)</f>
        <v>18</v>
      </c>
      <c r="J62" s="8">
        <f>SUM('01 Buckets'!P38:P49)</f>
        <v>19.2392755781674</v>
      </c>
      <c r="K62" s="3" t="s">
        <v>375</v>
      </c>
      <c r="L62" s="3"/>
      <c r="M62" s="3"/>
      <c r="N62" s="3"/>
      <c r="O62" s="3"/>
      <c r="P62" s="3"/>
    </row>
    <row r="63" ht="35" customHeight="1" spans="1:16">
      <c r="A63" s="22" t="s">
        <v>369</v>
      </c>
      <c r="B63" s="3" t="s">
        <v>376</v>
      </c>
      <c r="C63" s="17" t="s">
        <v>377</v>
      </c>
      <c r="D63" s="7"/>
      <c r="E63" s="7"/>
      <c r="F63" s="7"/>
      <c r="G63" s="3"/>
      <c r="H63" s="3"/>
      <c r="I63" s="3"/>
      <c r="J63" s="3"/>
      <c r="K63" s="3"/>
      <c r="L63" s="3"/>
      <c r="M63" s="3"/>
      <c r="N63" s="3"/>
      <c r="O63" s="3"/>
      <c r="P63" s="3"/>
    </row>
    <row r="64" ht="35" customHeight="1" spans="1:16">
      <c r="A64" s="22" t="s">
        <v>378</v>
      </c>
      <c r="B64" s="3" t="s">
        <v>379</v>
      </c>
      <c r="C64" s="17" t="s">
        <v>380</v>
      </c>
      <c r="D64" s="7"/>
      <c r="E64" s="7"/>
      <c r="F64" s="7"/>
      <c r="G64" s="3"/>
      <c r="H64" s="3"/>
      <c r="I64" s="3"/>
      <c r="J64" s="3"/>
      <c r="K64" s="3"/>
      <c r="L64" s="3"/>
      <c r="M64" s="3"/>
      <c r="N64" s="3"/>
      <c r="O64" s="3"/>
      <c r="P64" s="3"/>
    </row>
    <row r="65" ht="35" customHeight="1" spans="1:16">
      <c r="A65" s="22" t="s">
        <v>378</v>
      </c>
      <c r="B65" s="3" t="s">
        <v>381</v>
      </c>
      <c r="C65" s="17" t="s">
        <v>382</v>
      </c>
      <c r="D65" s="7"/>
      <c r="E65" s="7"/>
      <c r="F65" s="7"/>
      <c r="G65" s="3"/>
      <c r="H65" s="3"/>
      <c r="I65" s="3"/>
      <c r="J65" s="3"/>
      <c r="K65" s="3"/>
      <c r="L65" s="3"/>
      <c r="M65" s="3"/>
      <c r="N65" s="3"/>
      <c r="O65" s="3"/>
      <c r="P65" s="3"/>
    </row>
    <row r="66" ht="35" customHeight="1" spans="1:16">
      <c r="A66" s="22" t="s">
        <v>383</v>
      </c>
      <c r="B66" s="3" t="s">
        <v>384</v>
      </c>
      <c r="C66" s="17" t="s">
        <v>385</v>
      </c>
      <c r="D66" s="7"/>
      <c r="E66" s="7"/>
      <c r="F66" s="7"/>
      <c r="G66" s="3"/>
      <c r="H66" s="3"/>
      <c r="I66" s="3"/>
      <c r="J66" s="3"/>
      <c r="K66" s="3"/>
      <c r="L66" s="3"/>
      <c r="M66" s="3"/>
      <c r="N66" s="3"/>
      <c r="O66" s="3"/>
      <c r="P66" s="3"/>
    </row>
    <row r="67" ht="20" customHeight="1" spans="1:1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ht="20" customHeight="1" spans="1:1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</row>
    <row r="69" ht="20" customHeight="1" spans="1:1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</row>
    <row r="70" ht="20" customHeight="1" spans="1:1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ht="20" customHeight="1" spans="1:16">
      <c r="A71" s="3"/>
      <c r="B71" s="3"/>
      <c r="C71" s="3"/>
      <c r="D71" s="3"/>
      <c r="E71" s="3"/>
      <c r="F71" s="3"/>
      <c r="G71" s="23"/>
      <c r="H71" s="23"/>
      <c r="I71" s="23"/>
      <c r="J71" s="23"/>
      <c r="K71" s="23"/>
      <c r="L71" s="23"/>
      <c r="M71" s="23"/>
      <c r="N71" s="23"/>
      <c r="O71" s="23"/>
      <c r="P71" s="23"/>
    </row>
    <row r="72" ht="20" customHeight="1" spans="1:1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ht="20" customHeight="1" spans="1:16">
      <c r="A73" s="3"/>
      <c r="B73" s="3"/>
      <c r="C73" s="3"/>
      <c r="D73" s="3"/>
      <c r="E73" s="3"/>
      <c r="F73" s="3"/>
      <c r="G73" s="3"/>
      <c r="H73" s="3" t="s">
        <v>386</v>
      </c>
      <c r="I73" s="3" t="s">
        <v>387</v>
      </c>
      <c r="J73" s="3"/>
      <c r="K73" s="3"/>
      <c r="L73" s="3"/>
      <c r="M73" s="3"/>
      <c r="N73" s="3"/>
      <c r="O73" s="3"/>
      <c r="P73" s="3"/>
    </row>
    <row r="74" ht="20" customHeight="1" spans="1:16">
      <c r="A74" s="3"/>
      <c r="B74" s="3"/>
      <c r="C74" s="3"/>
      <c r="D74" s="3"/>
      <c r="E74" s="3"/>
      <c r="F74" s="3"/>
      <c r="G74" s="3"/>
      <c r="H74" s="3" t="s">
        <v>388</v>
      </c>
      <c r="I74" s="8">
        <f>C45</f>
        <v>94.1875</v>
      </c>
      <c r="J74" s="3"/>
      <c r="K74" s="3"/>
      <c r="L74" s="3"/>
      <c r="M74" s="3"/>
      <c r="N74" s="3"/>
      <c r="O74" s="3"/>
      <c r="P74" s="3"/>
    </row>
    <row r="75" ht="20" customHeight="1" spans="1:16">
      <c r="A75" s="3"/>
      <c r="B75" s="3"/>
      <c r="C75" s="3"/>
      <c r="D75" s="3"/>
      <c r="E75" s="3"/>
      <c r="F75" s="3"/>
      <c r="G75" s="3"/>
      <c r="H75" s="3" t="s">
        <v>389</v>
      </c>
      <c r="I75" s="8">
        <f>C17</f>
        <v>600</v>
      </c>
      <c r="J75" s="3"/>
      <c r="K75" s="3"/>
      <c r="L75" s="3"/>
      <c r="M75" s="3"/>
      <c r="N75" s="3"/>
      <c r="O75" s="3"/>
      <c r="P75" s="3"/>
    </row>
    <row r="76" ht="20" customHeight="1" spans="1:16">
      <c r="A76" s="3"/>
      <c r="B76" s="3"/>
      <c r="C76" s="3"/>
      <c r="D76" s="3"/>
      <c r="E76" s="3"/>
      <c r="F76" s="3"/>
      <c r="G76" s="3"/>
      <c r="H76" s="3" t="s">
        <v>390</v>
      </c>
      <c r="I76" s="8">
        <f>C18</f>
        <v>900</v>
      </c>
      <c r="J76" s="3"/>
      <c r="K76" s="3"/>
      <c r="L76" s="3"/>
      <c r="M76" s="3"/>
      <c r="N76" s="3"/>
      <c r="O76" s="3"/>
      <c r="P76" s="3"/>
    </row>
    <row r="77" ht="20" customHeight="1" spans="1:16">
      <c r="A77" s="3"/>
      <c r="B77" s="3"/>
      <c r="C77" s="3"/>
      <c r="D77" s="3"/>
      <c r="E77" s="3"/>
      <c r="F77" s="3"/>
      <c r="G77" s="3"/>
      <c r="H77" s="3" t="s">
        <v>391</v>
      </c>
      <c r="I77" s="8">
        <f>C19</f>
        <v>1200</v>
      </c>
      <c r="J77" s="3"/>
      <c r="K77" s="3"/>
      <c r="L77" s="3"/>
      <c r="M77" s="3"/>
      <c r="N77" s="3"/>
      <c r="O77" s="3"/>
      <c r="P77" s="3"/>
    </row>
    <row r="78" ht="20" customHeight="1" spans="1:1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 ht="20" customHeight="1" spans="1:1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</row>
    <row r="80" ht="20" customHeight="1" spans="1:1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</row>
    <row r="81" ht="20" customHeight="1" spans="1:1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</row>
    <row r="82" ht="20" customHeight="1" spans="1:1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ht="20" customHeight="1" spans="1:1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</row>
    <row r="84" ht="20" customHeight="1" spans="1:1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</row>
    <row r="85" ht="20" customHeight="1" spans="1:1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ht="20" customHeight="1" spans="1:1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</row>
    <row r="87" ht="20" customHeight="1" spans="1:1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</row>
    <row r="88" ht="20" customHeight="1" spans="1:16">
      <c r="A88" s="3"/>
      <c r="B88" s="3"/>
      <c r="C88" s="3"/>
      <c r="D88" s="3"/>
      <c r="E88" s="3"/>
      <c r="F88" s="3"/>
      <c r="G88" s="7" t="s">
        <v>392</v>
      </c>
      <c r="H88" s="7"/>
      <c r="I88" s="7"/>
      <c r="J88" s="7"/>
      <c r="K88" s="7"/>
      <c r="L88" s="7"/>
      <c r="M88" s="7"/>
      <c r="N88" s="7"/>
      <c r="O88" s="7"/>
      <c r="P88" s="7"/>
    </row>
    <row r="89" ht="20" customHeight="1" spans="1:16">
      <c r="A89" s="3"/>
      <c r="B89" s="3"/>
      <c r="C89" s="3"/>
      <c r="D89" s="3"/>
      <c r="E89" s="3"/>
      <c r="F89" s="3"/>
      <c r="G89" s="7"/>
      <c r="H89" s="7"/>
      <c r="I89" s="7"/>
      <c r="J89" s="7"/>
      <c r="K89" s="7"/>
      <c r="L89" s="7"/>
      <c r="M89" s="7"/>
      <c r="N89" s="7"/>
      <c r="O89" s="7"/>
      <c r="P89" s="7"/>
    </row>
    <row r="90" ht="20" customHeight="1" spans="1:1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ht="20" customHeight="1" spans="1:1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</row>
    <row r="92" ht="20" customHeight="1" spans="1:1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 ht="20" customHeight="1" spans="1:1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</row>
    <row r="94" ht="20" customHeight="1" spans="1:1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</row>
    <row r="95" ht="20" customHeight="1" spans="1:1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ht="20" customHeight="1" spans="1:1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</row>
  </sheetData>
  <mergeCells count="21">
    <mergeCell ref="A3:P3"/>
    <mergeCell ref="A5:P5"/>
    <mergeCell ref="A21:P21"/>
    <mergeCell ref="A34:P34"/>
    <mergeCell ref="A50:P50"/>
    <mergeCell ref="E52:F52"/>
    <mergeCell ref="E53:F53"/>
    <mergeCell ref="E54:F54"/>
    <mergeCell ref="E55:F55"/>
    <mergeCell ref="A59:P59"/>
    <mergeCell ref="C61:F61"/>
    <mergeCell ref="C62:F62"/>
    <mergeCell ref="C63:F63"/>
    <mergeCell ref="C64:F64"/>
    <mergeCell ref="C65:F65"/>
    <mergeCell ref="C66:F66"/>
    <mergeCell ref="G71:P71"/>
    <mergeCell ref="A1:P2"/>
    <mergeCell ref="A30:F31"/>
    <mergeCell ref="A47:F48"/>
    <mergeCell ref="G88:P89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01 Buckets</vt:lpstr>
      <vt:lpstr>02 Football Field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WPS_1787673969</cp:lastModifiedBy>
  <dcterms:created xsi:type="dcterms:W3CDTF">2026-10-24T11:30:21Z</dcterms:created>
  <dcterms:modified xsi:type="dcterms:W3CDTF">2026-10-24T11:35:04Z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C0E8C0CD437893F928D0DC6AD83BAB42_42</vt:lpwstr>
  </property>
  <property fmtid="{D5CDD505-2E9C-101B-9397-08002B2CF9AE}" pid="3" name="KSOProductBuildVer">
    <vt:lpwstr>1033-12.1.26050.26050</vt:lpwstr>
  </property>
  <property fmtid="{D5CDD505-2E9C-101B-9397-08002B2CF9AE}" pid="4" name="CalculationRule">
    <vt:i4>0</vt:i4>
  </property>
</Properties>
</file>